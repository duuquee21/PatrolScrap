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3"/>
    <sheet name="Relaciones" sheetId="2" state="visible" r:id="rId4"/>
  </sheets>
  <definedNames>
    <definedName function="false" hidden="true" localSheetId="0" name="_xlnm._FilterDatabase" vbProcedure="false">Variables!$A$4:$I$46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<sst xmlns="http://schemas.openxmlformats.org/spreadsheetml/2006/main" count="347" uniqueCount="250">
  <si>
    <t xml:space="preserve">Guía de variables del Inspector – Patrol (Unity)</t>
  </si>
  <si>
    <t xml:space="preserve">Leyenda: azul = valor inicial de los scripts (constante) · fondo amarillo = columna 'Mi valor', escribe aquí los tuyos. Si la dejas vacía, las fórmulas de la hoja 'Relaciones' usan el valor inicial.</t>
  </si>
  <si>
    <t xml:space="preserve">Script</t>
  </si>
  <si>
    <t xml:space="preserve">Sección</t>
  </si>
  <si>
    <t xml:space="preserve">Variable</t>
  </si>
  <si>
    <t xml:space="preserve">Valor inicial</t>
  </si>
  <si>
    <t xml:space="preserve">Unidad</t>
  </si>
  <si>
    <t xml:space="preserve">Mi valor</t>
  </si>
  <si>
    <t xml:space="preserve">Para qué sirve</t>
  </si>
  <si>
    <t xml:space="preserve">Si la subes</t>
  </si>
  <si>
    <t xml:space="preserve">Si la bajas</t>
  </si>
  <si>
    <t xml:space="preserve">SuspensionCoche</t>
  </si>
  <si>
    <t xml:space="preserve">Ruedas</t>
  </si>
  <si>
    <t xml:space="preserve">Ruedas (lista)</t>
  </si>
  <si>
    <t xml:space="preserve">4 elementos</t>
  </si>
  <si>
    <t xml:space="preserve">Una entrada por rueda (FL, FR, BL, BR)</t>
  </si>
  <si>
    <t xml:space="preserve">Anclaje</t>
  </si>
  <si>
    <t xml:space="preserve">Rueda_XX</t>
  </si>
  <si>
    <t xml:space="preserve">Punto de donde sale el SphereCast. Las delanteras giran aquí</t>
  </si>
  <si>
    <t xml:space="preserve">Pivote</t>
  </si>
  <si>
    <t xml:space="preserve">Objeto visual que sube y baja con el resorte</t>
  </si>
  <si>
    <t xml:space="preserve">Delantera</t>
  </si>
  <si>
    <t xml:space="preserve">Sí en FL y FR</t>
  </si>
  <si>
    <t xml:space="preserve">Marca las ruedas que giran con la dirección</t>
  </si>
  <si>
    <t xml:space="preserve">Traccion</t>
  </si>
  <si>
    <t xml:space="preserve">Sí en las 4</t>
  </si>
  <si>
    <t xml:space="preserve">Marca las ruedas que reciben fuerza del motor (4x4)</t>
  </si>
  <si>
    <t xml:space="preserve">Suspensión</t>
  </si>
  <si>
    <t xml:space="preserve">Capa Suelo</t>
  </si>
  <si>
    <t xml:space="preserve">Suelo</t>
  </si>
  <si>
    <t xml:space="preserve">Capa que detecta el SphereCast. Si no está marcada, el coche cae</t>
  </si>
  <si>
    <t xml:space="preserve">Longitud Maxima</t>
  </si>
  <si>
    <t xml:space="preserve">m</t>
  </si>
  <si>
    <t xml:space="preserve">Recorrido total del resorte (desde el anclaje hasta donde llega el cast)</t>
  </si>
  <si>
    <t xml:space="preserve">Más recorrido y más exagerado</t>
  </si>
  <si>
    <t xml:space="preserve">Toca fondo antes</t>
  </si>
  <si>
    <t xml:space="preserve">Radio Rueda</t>
  </si>
  <si>
    <t xml:space="preserve">Radio de la esfera del cast. Debe coincidir con el neumático real</t>
  </si>
  <si>
    <t xml:space="preserve">Si no coincide con el neumático, la rueda se ve hundida o flotando</t>
  </si>
  <si>
    <t xml:space="preserve">Rigidez</t>
  </si>
  <si>
    <t xml:space="preserve">N/m</t>
  </si>
  <si>
    <t xml:space="preserve">Fuerza del resorte por metro comprimido</t>
  </si>
  <si>
    <t xml:space="preserve">Coche duro</t>
  </si>
  <si>
    <t xml:space="preserve">Coche blando, se hunde y se balancea</t>
  </si>
  <si>
    <t xml:space="preserve">Amortiguacion</t>
  </si>
  <si>
    <t xml:space="preserve">N·s/m</t>
  </si>
  <si>
    <t xml:space="preserve">Frena el rebote según la velocidad de compresión</t>
  </si>
  <si>
    <t xml:space="preserve">Se asienta rápido, sin vida</t>
  </si>
  <si>
    <t xml:space="preserve">Rebota varias veces</t>
  </si>
  <si>
    <t xml:space="preserve">Tope</t>
  </si>
  <si>
    <t xml:space="preserve">Inicio Tope</t>
  </si>
  <si>
    <t xml:space="preserve">fracción (0.5-0.95)</t>
  </si>
  <si>
    <t xml:space="preserve">A qué fracción del recorrido empieza el 'tope de goma'</t>
  </si>
  <si>
    <t xml:space="preserve">El tope actúa más tarde</t>
  </si>
  <si>
    <t xml:space="preserve">El tope actúa antes</t>
  </si>
  <si>
    <t xml:space="preserve">Rigidez Tope</t>
  </si>
  <si>
    <t xml:space="preserve">Dureza extra al final del recorrido, para que el cuerpo no toque fondo</t>
  </si>
  <si>
    <t xml:space="preserve">Tope más duro</t>
  </si>
  <si>
    <t xml:space="preserve">Tope más blando</t>
  </si>
  <si>
    <t xml:space="preserve">Depuración</t>
  </si>
  <si>
    <t xml:space="preserve">Mostrar Gizmos</t>
  </si>
  <si>
    <t xml:space="preserve">No</t>
  </si>
  <si>
    <t xml:space="preserve">Dibuja esferas amarillas (recorrido) y rojas (física) en la Scene</t>
  </si>
  <si>
    <t xml:space="preserve">EntradaCoche</t>
  </si>
  <si>
    <t xml:space="preserve">Entrada</t>
  </si>
  <si>
    <t xml:space="preserve">Velocidad Acelerador</t>
  </si>
  <si>
    <t xml:space="preserve">unidades/s</t>
  </si>
  <si>
    <t xml:space="preserve">Lo rápido que sube el acelerador de 0 a 1</t>
  </si>
  <si>
    <t xml:space="preserve">Respuesta brusca</t>
  </si>
  <si>
    <t xml:space="preserve">Más progresiva</t>
  </si>
  <si>
    <t xml:space="preserve">Velocidad Direccion</t>
  </si>
  <si>
    <t xml:space="preserve">Lo rápido que gira el volante virtual</t>
  </si>
  <si>
    <t xml:space="preserve">Giro más nervioso</t>
  </si>
  <si>
    <t xml:space="preserve">Más suave</t>
  </si>
  <si>
    <t xml:space="preserve">MotorCoche</t>
  </si>
  <si>
    <t xml:space="preserve">Motor</t>
  </si>
  <si>
    <t xml:space="preserve">Fuerza Motor</t>
  </si>
  <si>
    <t xml:space="preserve">N</t>
  </si>
  <si>
    <t xml:space="preserve">Empuje total, repartido entre las ruedas de tracción</t>
  </si>
  <si>
    <t xml:space="preserve">Acelera más</t>
  </si>
  <si>
    <t xml:space="preserve">Acelera menos</t>
  </si>
  <si>
    <t xml:space="preserve">Fuerza Freno</t>
  </si>
  <si>
    <t xml:space="preserve">Fuerza al pedir lo contrario a lo que haces (vas adelante y pulsas S)</t>
  </si>
  <si>
    <t xml:space="preserve">Frena más en seco</t>
  </si>
  <si>
    <t xml:space="preserve">Frena más suave</t>
  </si>
  <si>
    <t xml:space="preserve">Velocidad Maxima</t>
  </si>
  <si>
    <t xml:space="preserve">m/s</t>
  </si>
  <si>
    <t xml:space="preserve">Velocidad a la que el motor deja de empujar (25 m/s = 90 km/h)</t>
  </si>
  <si>
    <t xml:space="preserve">Más velocidad punta</t>
  </si>
  <si>
    <t xml:space="preserve">Menos velocidad punta</t>
  </si>
  <si>
    <t xml:space="preserve">Rozamiento</t>
  </si>
  <si>
    <t xml:space="preserve">N por m/s</t>
  </si>
  <si>
    <t xml:space="preserve">Resistencia constante, también acelerando</t>
  </si>
  <si>
    <t xml:space="preserve">Baja la velocidad máxima real</t>
  </si>
  <si>
    <t xml:space="preserve">Menos resistencia</t>
  </si>
  <si>
    <t xml:space="preserve">Freno Motor</t>
  </si>
  <si>
    <t xml:space="preserve">Resistencia extra solo al soltar el acelerador</t>
  </si>
  <si>
    <t xml:space="preserve">Se detiene antes</t>
  </si>
  <si>
    <t xml:space="preserve">Rueda más</t>
  </si>
  <si>
    <t xml:space="preserve">Dirección</t>
  </si>
  <si>
    <t xml:space="preserve">Angulo Maximo</t>
  </si>
  <si>
    <t xml:space="preserve">grados</t>
  </si>
  <si>
    <t xml:space="preserve">Giro máximo de las ruedas delanteras</t>
  </si>
  <si>
    <t xml:space="preserve">Gira más cerrado</t>
  </si>
  <si>
    <t xml:space="preserve">Gira más abierto</t>
  </si>
  <si>
    <t xml:space="preserve">Giro A Velocidad Maxima</t>
  </si>
  <si>
    <t xml:space="preserve">fracción</t>
  </si>
  <si>
    <t xml:space="preserve">Porcentaje de giro disponible a tope de velocidad (0.35 = 35 %)</t>
  </si>
  <si>
    <t xml:space="preserve">Más sensible a alta velocidad</t>
  </si>
  <si>
    <t xml:space="preserve">Más estable a alta velocidad</t>
  </si>
  <si>
    <t xml:space="preserve">Turbo</t>
  </si>
  <si>
    <t xml:space="preserve">Multiplicador Turbo</t>
  </si>
  <si>
    <t xml:space="preserve">x</t>
  </si>
  <si>
    <t xml:space="preserve">Multiplica la fuerza del motor con turbo</t>
  </si>
  <si>
    <t xml:space="preserve">Empuje mayor</t>
  </si>
  <si>
    <t xml:space="preserve">Empuje menor</t>
  </si>
  <si>
    <t xml:space="preserve">Velocidad Maxima Turbo</t>
  </si>
  <si>
    <t xml:space="preserve">Nuevo techo de velocidad con turbo</t>
  </si>
  <si>
    <t xml:space="preserve">Más velocidad punta con turbo</t>
  </si>
  <si>
    <t xml:space="preserve">Menos velocidad punta con turbo</t>
  </si>
  <si>
    <t xml:space="preserve">Capacidad Turbo</t>
  </si>
  <si>
    <t xml:space="preserve">unidades</t>
  </si>
  <si>
    <t xml:space="preserve">Tamaño del depósito de turbo</t>
  </si>
  <si>
    <t xml:space="preserve">Dura más</t>
  </si>
  <si>
    <t xml:space="preserve">Dura menos</t>
  </si>
  <si>
    <t xml:space="preserve">Consumo Turbo</t>
  </si>
  <si>
    <t xml:space="preserve">Lo que gasta por segundo con el turbo activo</t>
  </si>
  <si>
    <t xml:space="preserve">Recarga Turbo</t>
  </si>
  <si>
    <t xml:space="preserve">Lo que recupera por segundo si no lo usas</t>
  </si>
  <si>
    <t xml:space="preserve">Recarga antes</t>
  </si>
  <si>
    <t xml:space="preserve">Recarga más lento</t>
  </si>
  <si>
    <t xml:space="preserve">AgarreCoche</t>
  </si>
  <si>
    <t xml:space="preserve">Agarre lateral</t>
  </si>
  <si>
    <t xml:space="preserve">Rigidez Lateral</t>
  </si>
  <si>
    <t xml:space="preserve">Lo fuerte que frena el deslizamiento lateral</t>
  </si>
  <si>
    <t xml:space="preserve">Más agarre (si vibra al ir recto, bájala a 2000-3000)</t>
  </si>
  <si>
    <t xml:space="preserve">Más deslizamiento</t>
  </si>
  <si>
    <t xml:space="preserve">Coeficiente Agarre</t>
  </si>
  <si>
    <t xml:space="preserve">Límite de adherencia: fuerza lateral máxima = peso sobre la rueda × este valor. 1 = asfalto, 0.5 = arena suelta</t>
  </si>
  <si>
    <t xml:space="preserve">Más agarre</t>
  </si>
  <si>
    <t xml:space="preserve">Derrapa antes</t>
  </si>
  <si>
    <t xml:space="preserve">Freno de mano</t>
  </si>
  <si>
    <t xml:space="preserve">Agarre Trasero Con Freno</t>
  </si>
  <si>
    <t xml:space="preserve">fracción (0-1)</t>
  </si>
  <si>
    <t xml:space="preserve">Fracción de agarre que conservan las traseras con el freno de mano</t>
  </si>
  <si>
    <t xml:space="preserve">Menos derrape</t>
  </si>
  <si>
    <t xml:space="preserve">Derrapa más fácil</t>
  </si>
  <si>
    <t xml:space="preserve">Frenado Freno Mano</t>
  </si>
  <si>
    <t xml:space="preserve">Cuánto frena hacia delante el freno de mano</t>
  </si>
  <si>
    <t xml:space="preserve">Frena más</t>
  </si>
  <si>
    <t xml:space="preserve">Frena menos</t>
  </si>
  <si>
    <t xml:space="preserve">EstabilidadCoche</t>
  </si>
  <si>
    <t xml:space="preserve">Centro de masa</t>
  </si>
  <si>
    <t xml:space="preserve">Centro De Masa</t>
  </si>
  <si>
    <t xml:space="preserve">(0, -0.4, 0)</t>
  </si>
  <si>
    <t xml:space="preserve">m (local)</t>
  </si>
  <si>
    <t xml:space="preserve">Punto de equilibrio del coche, relativo a Patrol</t>
  </si>
  <si>
    <t xml:space="preserve">Más alto (Y mayor): vuelca fácil</t>
  </si>
  <si>
    <t xml:space="preserve">Más bajo (Y negativa): cuesta más volcar</t>
  </si>
  <si>
    <t xml:space="preserve">Damping rotacional</t>
  </si>
  <si>
    <t xml:space="preserve">Damping Yaw</t>
  </si>
  <si>
    <t xml:space="preserve">Freno al giro izquierda/derecha del coche</t>
  </si>
  <si>
    <t xml:space="preserve">Deja de rotar antes, pero cuesta girar</t>
  </si>
  <si>
    <t xml:space="preserve">Gira más libre</t>
  </si>
  <si>
    <t xml:space="preserve">Damping Roll</t>
  </si>
  <si>
    <t xml:space="preserve">Freno al vuelco lateral</t>
  </si>
  <si>
    <t xml:space="preserve">Se inclina menos</t>
  </si>
  <si>
    <t xml:space="preserve">Se inclina más</t>
  </si>
  <si>
    <t xml:space="preserve">Damping Pitch</t>
  </si>
  <si>
    <t xml:space="preserve">Freno al cabeceo (morro arriba/abajo)</t>
  </si>
  <si>
    <t xml:space="preserve">Cabecea menos</t>
  </si>
  <si>
    <t xml:space="preserve">Cabecea más</t>
  </si>
  <si>
    <t xml:space="preserve">Asistencia</t>
  </si>
  <si>
    <t xml:space="preserve">Ayudas Activas</t>
  </si>
  <si>
    <t xml:space="preserve">Sí</t>
  </si>
  <si>
    <t xml:space="preserve">Activa o desactiva la asistencia de alineación (opción de accesibilidad del GDD)</t>
  </si>
  <si>
    <t xml:space="preserve">Velocidad Minima Asistencia</t>
  </si>
  <si>
    <t xml:space="preserve">Por debajo de esta velocidad la asistencia no actúa</t>
  </si>
  <si>
    <t xml:space="preserve">Actúa solo a más velocidad</t>
  </si>
  <si>
    <t xml:space="preserve">Actúa también a poca velocidad</t>
  </si>
  <si>
    <t xml:space="preserve">Fuerza Alineacion</t>
  </si>
  <si>
    <t xml:space="preserve">Intensidad con la que se alinea el morro con la trayectoria</t>
  </si>
  <si>
    <t xml:space="preserve">'Sobre raíles'</t>
  </si>
  <si>
    <t xml:space="preserve">Más libre para derrapar</t>
  </si>
  <si>
    <t xml:space="preserve">Angulo Maximo Asistencia</t>
  </si>
  <si>
    <t xml:space="preserve">Ángulo de derrape a partir del cual la asistencia deja de crecer</t>
  </si>
  <si>
    <t xml:space="preserve">Rigidbody (Patrol)</t>
  </si>
  <si>
    <t xml:space="preserve">Unity</t>
  </si>
  <si>
    <t xml:space="preserve">Mass</t>
  </si>
  <si>
    <t xml:space="preserve">kg</t>
  </si>
  <si>
    <t xml:space="preserve">Peso del coche. Todo el ajuste de suspensión depende de esto</t>
  </si>
  <si>
    <t xml:space="preserve">Coche más pesado, necesita más rigidez</t>
  </si>
  <si>
    <t xml:space="preserve">Coche más ligero</t>
  </si>
  <si>
    <t xml:space="preserve">Interpolate</t>
  </si>
  <si>
    <t xml:space="preserve">Suaviza el movimiento visual entre pasos de física</t>
  </si>
  <si>
    <t xml:space="preserve">Collision Detection</t>
  </si>
  <si>
    <t xml:space="preserve">Continuous Dynamic</t>
  </si>
  <si>
    <t xml:space="preserve">Evita atravesar objetos a alta velocidad (riesgo técnico del TDD)</t>
  </si>
  <si>
    <t xml:space="preserve">Nota: los valores iniciales son los que traen los scripts por defecto. Tus valores reales pueden ser distintos (p. ej. Longitud Máxima 0.6 y Radio 0.3 en algún momento).</t>
  </si>
  <si>
    <t xml:space="preserve">Relaciones útiles (se recalculan con 'Mi valor' o, si está vacío, con el valor inicial)</t>
  </si>
  <si>
    <t xml:space="preserve">Dato de entrada</t>
  </si>
  <si>
    <t xml:space="preserve">Valor</t>
  </si>
  <si>
    <t xml:space="preserve">Origen</t>
  </si>
  <si>
    <t xml:space="preserve">Masa del coche</t>
  </si>
  <si>
    <t xml:space="preserve">Hoja Variables, fila de 'Mass'</t>
  </si>
  <si>
    <t xml:space="preserve">Rigidez del resorte</t>
  </si>
  <si>
    <t xml:space="preserve">Hoja Variables, fila de 'Rigidez'</t>
  </si>
  <si>
    <t xml:space="preserve">Longitud máxima del resorte</t>
  </si>
  <si>
    <t xml:space="preserve">Hoja Variables, fila de 'Longitud Maxima'</t>
  </si>
  <si>
    <t xml:space="preserve">Radio de la rueda</t>
  </si>
  <si>
    <t xml:space="preserve">Hoja Variables, fila de 'Radio Rueda'</t>
  </si>
  <si>
    <t xml:space="preserve">Capacidad del turbo</t>
  </si>
  <si>
    <t xml:space="preserve">Hoja Variables, fila de 'Capacidad Turbo'</t>
  </si>
  <si>
    <t xml:space="preserve">Consumo del turbo</t>
  </si>
  <si>
    <t xml:space="preserve">Hoja Variables, fila de 'Consumo Turbo'</t>
  </si>
  <si>
    <t xml:space="preserve">Recarga del turbo</t>
  </si>
  <si>
    <t xml:space="preserve">Hoja Variables, fila de 'Recarga Turbo'</t>
  </si>
  <si>
    <t xml:space="preserve">Velocidad máxima</t>
  </si>
  <si>
    <t xml:space="preserve">Hoja Variables, fila de 'Velocidad Maxima'</t>
  </si>
  <si>
    <t xml:space="preserve">Gravedad</t>
  </si>
  <si>
    <t xml:space="preserve">m/s²</t>
  </si>
  <si>
    <t xml:space="preserve">Constante física (valor estándar)</t>
  </si>
  <si>
    <t xml:space="preserve">Número de ruedas</t>
  </si>
  <si>
    <t xml:space="preserve">ud</t>
  </si>
  <si>
    <t xml:space="preserve">Coche de 4 ruedas (supuesto: reparto de peso uniforme)</t>
  </si>
  <si>
    <t xml:space="preserve">Resultado</t>
  </si>
  <si>
    <t xml:space="preserve">Cómo se calcula</t>
  </si>
  <si>
    <t xml:space="preserve">Peso por rueda</t>
  </si>
  <si>
    <t xml:space="preserve">masa × gravedad / nº de ruedas</t>
  </si>
  <si>
    <t xml:space="preserve">Compresión del resorte en reposo</t>
  </si>
  <si>
    <t xml:space="preserve">peso por rueda / rigidez</t>
  </si>
  <si>
    <t xml:space="preserve">Alcance máximo del SphereCast</t>
  </si>
  <si>
    <t xml:space="preserve">radio + longitud máxima (el anclaje debe estar por debajo de esto para tocar suelo)</t>
  </si>
  <si>
    <t xml:space="preserve">Altura del anclaje en reposo</t>
  </si>
  <si>
    <t xml:space="preserve">radio + longitud máxima − compresión en reposo</t>
  </si>
  <si>
    <t xml:space="preserve">Compresión en reposo (% del recorrido)</t>
  </si>
  <si>
    <t xml:space="preserve">%</t>
  </si>
  <si>
    <t xml:space="preserve">compresión / longitud máxima</t>
  </si>
  <si>
    <t xml:space="preserve">Duración del turbo a fondo</t>
  </si>
  <si>
    <t xml:space="preserve">s</t>
  </si>
  <si>
    <t xml:space="preserve">capacidad / consumo</t>
  </si>
  <si>
    <t xml:space="preserve">Tiempo de recarga completa del turbo</t>
  </si>
  <si>
    <t xml:space="preserve">capacidad / recarga</t>
  </si>
  <si>
    <t xml:space="preserve">km/h</t>
  </si>
  <si>
    <t xml:space="preserve">m/s × 3.6</t>
  </si>
  <si>
    <t xml:space="preserve">Reglas rápidas</t>
  </si>
  <si>
    <t xml:space="preserve">• Rigidez y Amortiguación van juntas: si cambias una, revisa la otra.</t>
  </si>
  <si>
    <t xml:space="preserve">• Radio Rueda debe ser siempre el del neumático visual. Si cambias de modelo, mídelo de nuevo.</t>
  </si>
  <si>
    <t xml:space="preserve">• Si la compresión en reposo supera ~50 % del recorrido, el cuerpo tocará fondo con facilidad: sube Rigidez o Longitud Máxima.</t>
  </si>
  <si>
    <t xml:space="preserve">• Coeficiente Agarre y Rigidez Lateral controlan el derrape juntos: el primero marca dónde se pierde el agarre, el segundo lo fuerte que se corrige antes de perderlo.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</si>
</sst>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#"/>
    <numFmt numFmtId="166" formatCode="#,##0.##"/>
    <numFmt numFmtId="167" formatCode="#,##0"/>
    <numFmt numFmtId="168" formatCode="0.00"/>
    <numFmt numFmtId="169" formatCode="0%"/>
    <numFmt numFmtId="170" formatCode="0.0"/>
    <numFmt numFmtId="171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E4DFEC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28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60"/>
    <col collapsed="false" customWidth="true" hidden="false" outlineLevel="0" max="9" min="8" style="0" width="38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5" t="s">
        <v>13</v>
      </c>
      <c r="D5" s="6" t="s">
        <v>14</v>
      </c>
      <c r="E5" s="7"/>
      <c r="F5" s="8"/>
      <c r="G5" s="9" t="s">
        <v>15</v>
      </c>
      <c r="H5" s="9"/>
      <c r="I5" s="9"/>
    </row>
    <row r="6" customFormat="false" ht="15" hidden="false" customHeight="false" outlineLevel="0" collapsed="false">
      <c r="A6" s="4" t="s">
        <v>11</v>
      </c>
      <c r="B6" s="4" t="s">
        <v>12</v>
      </c>
      <c r="C6" s="5" t="s">
        <v>16</v>
      </c>
      <c r="D6" s="6" t="s">
        <v>17</v>
      </c>
      <c r="E6" s="7"/>
      <c r="F6" s="8"/>
      <c r="G6" s="9" t="s">
        <v>18</v>
      </c>
      <c r="H6" s="9"/>
      <c r="I6" s="9"/>
    </row>
    <row r="7" customFormat="false" ht="15" hidden="false" customHeight="false" outlineLevel="0" collapsed="false">
      <c r="A7" s="4" t="s">
        <v>11</v>
      </c>
      <c r="B7" s="4" t="s">
        <v>12</v>
      </c>
      <c r="C7" s="5" t="s">
        <v>19</v>
      </c>
      <c r="D7" s="6" t="s">
        <v>19</v>
      </c>
      <c r="E7" s="7"/>
      <c r="F7" s="8"/>
      <c r="G7" s="9" t="s">
        <v>20</v>
      </c>
      <c r="H7" s="9"/>
      <c r="I7" s="9"/>
    </row>
    <row r="8" customFormat="false" ht="15" hidden="false" customHeight="false" outlineLevel="0" collapsed="false">
      <c r="A8" s="4" t="s">
        <v>11</v>
      </c>
      <c r="B8" s="4" t="s">
        <v>12</v>
      </c>
      <c r="C8" s="5" t="s">
        <v>21</v>
      </c>
      <c r="D8" s="6" t="s">
        <v>22</v>
      </c>
      <c r="E8" s="7"/>
      <c r="F8" s="8"/>
      <c r="G8" s="9" t="s">
        <v>23</v>
      </c>
      <c r="H8" s="9"/>
      <c r="I8" s="9"/>
    </row>
    <row r="9" customFormat="false" ht="15" hidden="false" customHeight="false" outlineLevel="0" collapsed="false">
      <c r="A9" s="4" t="s">
        <v>11</v>
      </c>
      <c r="B9" s="4" t="s">
        <v>12</v>
      </c>
      <c r="C9" s="5" t="s">
        <v>24</v>
      </c>
      <c r="D9" s="6" t="s">
        <v>25</v>
      </c>
      <c r="E9" s="7"/>
      <c r="F9" s="8"/>
      <c r="G9" s="9" t="s">
        <v>26</v>
      </c>
      <c r="H9" s="9"/>
      <c r="I9" s="9"/>
    </row>
    <row r="10" customFormat="false" ht="15" hidden="false" customHeight="false" outlineLevel="0" collapsed="false">
      <c r="A10" s="4" t="s">
        <v>11</v>
      </c>
      <c r="B10" s="4" t="s">
        <v>27</v>
      </c>
      <c r="C10" s="5" t="s">
        <v>28</v>
      </c>
      <c r="D10" s="6" t="s">
        <v>29</v>
      </c>
      <c r="E10" s="7"/>
      <c r="F10" s="8"/>
      <c r="G10" s="9" t="s">
        <v>30</v>
      </c>
      <c r="H10" s="9"/>
      <c r="I10" s="9"/>
    </row>
    <row r="11" customFormat="false" ht="15" hidden="false" customHeight="false" outlineLevel="0" collapsed="false">
      <c r="A11" s="4" t="s">
        <v>11</v>
      </c>
      <c r="B11" s="4" t="s">
        <v>27</v>
      </c>
      <c r="C11" s="5" t="s">
        <v>31</v>
      </c>
      <c r="D11" s="10" t="n">
        <v>0.9</v>
      </c>
      <c r="E11" s="7" t="s">
        <v>32</v>
      </c>
      <c r="F11" s="11"/>
      <c r="G11" s="9" t="s">
        <v>33</v>
      </c>
      <c r="H11" s="9" t="s">
        <v>34</v>
      </c>
      <c r="I11" s="9" t="s">
        <v>35</v>
      </c>
    </row>
    <row r="12" customFormat="false" ht="23.85" hidden="false" customHeight="false" outlineLevel="0" collapsed="false">
      <c r="A12" s="4" t="s">
        <v>11</v>
      </c>
      <c r="B12" s="4" t="s">
        <v>27</v>
      </c>
      <c r="C12" s="5" t="s">
        <v>36</v>
      </c>
      <c r="D12" s="10" t="n">
        <v>0.5</v>
      </c>
      <c r="E12" s="7" t="s">
        <v>32</v>
      </c>
      <c r="F12" s="11"/>
      <c r="G12" s="9" t="s">
        <v>37</v>
      </c>
      <c r="H12" s="9" t="s">
        <v>38</v>
      </c>
      <c r="I12" s="9"/>
    </row>
    <row r="13" customFormat="false" ht="15" hidden="false" customHeight="false" outlineLevel="0" collapsed="false">
      <c r="A13" s="4" t="s">
        <v>11</v>
      </c>
      <c r="B13" s="4" t="s">
        <v>27</v>
      </c>
      <c r="C13" s="5" t="s">
        <v>39</v>
      </c>
      <c r="D13" s="12" t="n">
        <v>25000</v>
      </c>
      <c r="E13" s="7" t="s">
        <v>40</v>
      </c>
      <c r="F13" s="13"/>
      <c r="G13" s="9" t="s">
        <v>41</v>
      </c>
      <c r="H13" s="9" t="s">
        <v>42</v>
      </c>
      <c r="I13" s="9" t="s">
        <v>43</v>
      </c>
    </row>
    <row r="14" customFormat="false" ht="15" hidden="false" customHeight="false" outlineLevel="0" collapsed="false">
      <c r="A14" s="4" t="s">
        <v>11</v>
      </c>
      <c r="B14" s="4" t="s">
        <v>27</v>
      </c>
      <c r="C14" s="5" t="s">
        <v>44</v>
      </c>
      <c r="D14" s="12" t="n">
        <v>2500</v>
      </c>
      <c r="E14" s="7" t="s">
        <v>45</v>
      </c>
      <c r="F14" s="13"/>
      <c r="G14" s="9" t="s">
        <v>46</v>
      </c>
      <c r="H14" s="9" t="s">
        <v>47</v>
      </c>
      <c r="I14" s="9" t="s">
        <v>48</v>
      </c>
    </row>
    <row r="15" customFormat="false" ht="15" hidden="false" customHeight="false" outlineLevel="0" collapsed="false">
      <c r="A15" s="4" t="s">
        <v>11</v>
      </c>
      <c r="B15" s="4" t="s">
        <v>49</v>
      </c>
      <c r="C15" s="5" t="s">
        <v>50</v>
      </c>
      <c r="D15" s="10" t="n">
        <v>0.8</v>
      </c>
      <c r="E15" s="7" t="s">
        <v>51</v>
      </c>
      <c r="F15" s="11"/>
      <c r="G15" s="9" t="s">
        <v>52</v>
      </c>
      <c r="H15" s="9" t="s">
        <v>53</v>
      </c>
      <c r="I15" s="9" t="s">
        <v>54</v>
      </c>
    </row>
    <row r="16" customFormat="false" ht="15" hidden="false" customHeight="false" outlineLevel="0" collapsed="false">
      <c r="A16" s="4" t="s">
        <v>11</v>
      </c>
      <c r="B16" s="4" t="s">
        <v>49</v>
      </c>
      <c r="C16" s="5" t="s">
        <v>55</v>
      </c>
      <c r="D16" s="12" t="n">
        <v>150000</v>
      </c>
      <c r="E16" s="7" t="s">
        <v>40</v>
      </c>
      <c r="F16" s="13"/>
      <c r="G16" s="9" t="s">
        <v>56</v>
      </c>
      <c r="H16" s="9" t="s">
        <v>57</v>
      </c>
      <c r="I16" s="9" t="s">
        <v>58</v>
      </c>
    </row>
    <row r="17" customFormat="false" ht="15" hidden="false" customHeight="false" outlineLevel="0" collapsed="false">
      <c r="A17" s="4" t="s">
        <v>11</v>
      </c>
      <c r="B17" s="4" t="s">
        <v>59</v>
      </c>
      <c r="C17" s="5" t="s">
        <v>60</v>
      </c>
      <c r="D17" s="6" t="s">
        <v>61</v>
      </c>
      <c r="E17" s="7"/>
      <c r="F17" s="8"/>
      <c r="G17" s="9" t="s">
        <v>62</v>
      </c>
      <c r="H17" s="9"/>
      <c r="I17" s="9"/>
    </row>
    <row r="18" customFormat="false" ht="15" hidden="false" customHeight="false" outlineLevel="0" collapsed="false">
      <c r="A18" s="14" t="s">
        <v>63</v>
      </c>
      <c r="B18" s="14" t="s">
        <v>64</v>
      </c>
      <c r="C18" s="15" t="s">
        <v>65</v>
      </c>
      <c r="D18" s="10" t="n">
        <v>3</v>
      </c>
      <c r="E18" s="7" t="s">
        <v>66</v>
      </c>
      <c r="F18" s="11"/>
      <c r="G18" s="9" t="s">
        <v>67</v>
      </c>
      <c r="H18" s="9" t="s">
        <v>68</v>
      </c>
      <c r="I18" s="9" t="s">
        <v>69</v>
      </c>
    </row>
    <row r="19" customFormat="false" ht="15" hidden="false" customHeight="false" outlineLevel="0" collapsed="false">
      <c r="A19" s="14" t="s">
        <v>63</v>
      </c>
      <c r="B19" s="14" t="s">
        <v>64</v>
      </c>
      <c r="C19" s="15" t="s">
        <v>70</v>
      </c>
      <c r="D19" s="10" t="n">
        <v>4</v>
      </c>
      <c r="E19" s="7" t="s">
        <v>66</v>
      </c>
      <c r="F19" s="11"/>
      <c r="G19" s="9" t="s">
        <v>71</v>
      </c>
      <c r="H19" s="9" t="s">
        <v>72</v>
      </c>
      <c r="I19" s="9" t="s">
        <v>73</v>
      </c>
    </row>
    <row r="20" customFormat="false" ht="15" hidden="false" customHeight="false" outlineLevel="0" collapsed="false">
      <c r="A20" s="16" t="s">
        <v>74</v>
      </c>
      <c r="B20" s="16" t="s">
        <v>75</v>
      </c>
      <c r="C20" s="17" t="s">
        <v>76</v>
      </c>
      <c r="D20" s="12" t="n">
        <v>9000</v>
      </c>
      <c r="E20" s="7" t="s">
        <v>77</v>
      </c>
      <c r="F20" s="13"/>
      <c r="G20" s="9" t="s">
        <v>78</v>
      </c>
      <c r="H20" s="9" t="s">
        <v>79</v>
      </c>
      <c r="I20" s="9" t="s">
        <v>80</v>
      </c>
    </row>
    <row r="21" customFormat="false" ht="15" hidden="false" customHeight="false" outlineLevel="0" collapsed="false">
      <c r="A21" s="16" t="s">
        <v>74</v>
      </c>
      <c r="B21" s="16" t="s">
        <v>75</v>
      </c>
      <c r="C21" s="17" t="s">
        <v>81</v>
      </c>
      <c r="D21" s="12" t="n">
        <v>8000</v>
      </c>
      <c r="E21" s="7" t="s">
        <v>77</v>
      </c>
      <c r="F21" s="13"/>
      <c r="G21" s="9" t="s">
        <v>82</v>
      </c>
      <c r="H21" s="9" t="s">
        <v>83</v>
      </c>
      <c r="I21" s="9" t="s">
        <v>84</v>
      </c>
    </row>
    <row r="22" customFormat="false" ht="15" hidden="false" customHeight="false" outlineLevel="0" collapsed="false">
      <c r="A22" s="16" t="s">
        <v>74</v>
      </c>
      <c r="B22" s="16" t="s">
        <v>75</v>
      </c>
      <c r="C22" s="17" t="s">
        <v>85</v>
      </c>
      <c r="D22" s="10" t="n">
        <v>25</v>
      </c>
      <c r="E22" s="7" t="s">
        <v>86</v>
      </c>
      <c r="F22" s="11"/>
      <c r="G22" s="9" t="s">
        <v>87</v>
      </c>
      <c r="H22" s="9" t="s">
        <v>88</v>
      </c>
      <c r="I22" s="9" t="s">
        <v>89</v>
      </c>
    </row>
    <row r="23" customFormat="false" ht="15" hidden="false" customHeight="false" outlineLevel="0" collapsed="false">
      <c r="A23" s="16" t="s">
        <v>74</v>
      </c>
      <c r="B23" s="16" t="s">
        <v>75</v>
      </c>
      <c r="C23" s="17" t="s">
        <v>90</v>
      </c>
      <c r="D23" s="12" t="n">
        <v>100</v>
      </c>
      <c r="E23" s="7" t="s">
        <v>91</v>
      </c>
      <c r="F23" s="13"/>
      <c r="G23" s="9" t="s">
        <v>92</v>
      </c>
      <c r="H23" s="9" t="s">
        <v>93</v>
      </c>
      <c r="I23" s="9" t="s">
        <v>94</v>
      </c>
    </row>
    <row r="24" customFormat="false" ht="15" hidden="false" customHeight="false" outlineLevel="0" collapsed="false">
      <c r="A24" s="16" t="s">
        <v>74</v>
      </c>
      <c r="B24" s="16" t="s">
        <v>75</v>
      </c>
      <c r="C24" s="17" t="s">
        <v>95</v>
      </c>
      <c r="D24" s="12" t="n">
        <v>1500</v>
      </c>
      <c r="E24" s="7" t="s">
        <v>91</v>
      </c>
      <c r="F24" s="13"/>
      <c r="G24" s="9" t="s">
        <v>96</v>
      </c>
      <c r="H24" s="9" t="s">
        <v>97</v>
      </c>
      <c r="I24" s="9" t="s">
        <v>98</v>
      </c>
    </row>
    <row r="25" customFormat="false" ht="15" hidden="false" customHeight="false" outlineLevel="0" collapsed="false">
      <c r="A25" s="16" t="s">
        <v>74</v>
      </c>
      <c r="B25" s="16" t="s">
        <v>99</v>
      </c>
      <c r="C25" s="17" t="s">
        <v>100</v>
      </c>
      <c r="D25" s="10" t="n">
        <v>30</v>
      </c>
      <c r="E25" s="7" t="s">
        <v>101</v>
      </c>
      <c r="F25" s="11"/>
      <c r="G25" s="9" t="s">
        <v>102</v>
      </c>
      <c r="H25" s="9" t="s">
        <v>103</v>
      </c>
      <c r="I25" s="9" t="s">
        <v>104</v>
      </c>
    </row>
    <row r="26" customFormat="false" ht="15" hidden="false" customHeight="false" outlineLevel="0" collapsed="false">
      <c r="A26" s="16" t="s">
        <v>74</v>
      </c>
      <c r="B26" s="16" t="s">
        <v>99</v>
      </c>
      <c r="C26" s="17" t="s">
        <v>105</v>
      </c>
      <c r="D26" s="10" t="n">
        <v>0.35</v>
      </c>
      <c r="E26" s="7" t="s">
        <v>106</v>
      </c>
      <c r="F26" s="11"/>
      <c r="G26" s="9" t="s">
        <v>107</v>
      </c>
      <c r="H26" s="9" t="s">
        <v>108</v>
      </c>
      <c r="I26" s="9" t="s">
        <v>109</v>
      </c>
    </row>
    <row r="27" customFormat="false" ht="15" hidden="false" customHeight="false" outlineLevel="0" collapsed="false">
      <c r="A27" s="16" t="s">
        <v>74</v>
      </c>
      <c r="B27" s="16" t="s">
        <v>110</v>
      </c>
      <c r="C27" s="17" t="s">
        <v>111</v>
      </c>
      <c r="D27" s="10" t="n">
        <v>1.8</v>
      </c>
      <c r="E27" s="7" t="s">
        <v>112</v>
      </c>
      <c r="F27" s="11"/>
      <c r="G27" s="9" t="s">
        <v>113</v>
      </c>
      <c r="H27" s="9" t="s">
        <v>114</v>
      </c>
      <c r="I27" s="9" t="s">
        <v>115</v>
      </c>
    </row>
    <row r="28" customFormat="false" ht="15" hidden="false" customHeight="false" outlineLevel="0" collapsed="false">
      <c r="A28" s="16" t="s">
        <v>74</v>
      </c>
      <c r="B28" s="16" t="s">
        <v>110</v>
      </c>
      <c r="C28" s="17" t="s">
        <v>116</v>
      </c>
      <c r="D28" s="10" t="n">
        <v>32</v>
      </c>
      <c r="E28" s="7" t="s">
        <v>86</v>
      </c>
      <c r="F28" s="11"/>
      <c r="G28" s="9" t="s">
        <v>117</v>
      </c>
      <c r="H28" s="9" t="s">
        <v>118</v>
      </c>
      <c r="I28" s="9" t="s">
        <v>119</v>
      </c>
    </row>
    <row r="29" customFormat="false" ht="15" hidden="false" customHeight="false" outlineLevel="0" collapsed="false">
      <c r="A29" s="16" t="s">
        <v>74</v>
      </c>
      <c r="B29" s="16" t="s">
        <v>110</v>
      </c>
      <c r="C29" s="17" t="s">
        <v>120</v>
      </c>
      <c r="D29" s="12" t="n">
        <v>100</v>
      </c>
      <c r="E29" s="7" t="s">
        <v>121</v>
      </c>
      <c r="F29" s="13"/>
      <c r="G29" s="9" t="s">
        <v>122</v>
      </c>
      <c r="H29" s="9" t="s">
        <v>123</v>
      </c>
      <c r="I29" s="9" t="s">
        <v>124</v>
      </c>
    </row>
    <row r="30" customFormat="false" ht="15" hidden="false" customHeight="false" outlineLevel="0" collapsed="false">
      <c r="A30" s="16" t="s">
        <v>74</v>
      </c>
      <c r="B30" s="16" t="s">
        <v>110</v>
      </c>
      <c r="C30" s="17" t="s">
        <v>125</v>
      </c>
      <c r="D30" s="10" t="n">
        <v>25</v>
      </c>
      <c r="E30" s="7" t="s">
        <v>66</v>
      </c>
      <c r="F30" s="11"/>
      <c r="G30" s="9" t="s">
        <v>126</v>
      </c>
      <c r="H30" s="9" t="s">
        <v>124</v>
      </c>
      <c r="I30" s="9" t="s">
        <v>123</v>
      </c>
    </row>
    <row r="31" customFormat="false" ht="15" hidden="false" customHeight="false" outlineLevel="0" collapsed="false">
      <c r="A31" s="16" t="s">
        <v>74</v>
      </c>
      <c r="B31" s="16" t="s">
        <v>110</v>
      </c>
      <c r="C31" s="17" t="s">
        <v>127</v>
      </c>
      <c r="D31" s="10" t="n">
        <v>10</v>
      </c>
      <c r="E31" s="7" t="s">
        <v>66</v>
      </c>
      <c r="F31" s="11"/>
      <c r="G31" s="9" t="s">
        <v>128</v>
      </c>
      <c r="H31" s="9" t="s">
        <v>129</v>
      </c>
      <c r="I31" s="9" t="s">
        <v>130</v>
      </c>
    </row>
    <row r="32" customFormat="false" ht="23.85" hidden="false" customHeight="false" outlineLevel="0" collapsed="false">
      <c r="A32" s="18" t="s">
        <v>131</v>
      </c>
      <c r="B32" s="18" t="s">
        <v>132</v>
      </c>
      <c r="C32" s="19" t="s">
        <v>133</v>
      </c>
      <c r="D32" s="12" t="n">
        <v>4000</v>
      </c>
      <c r="E32" s="7" t="s">
        <v>91</v>
      </c>
      <c r="F32" s="13"/>
      <c r="G32" s="9" t="s">
        <v>134</v>
      </c>
      <c r="H32" s="9" t="s">
        <v>135</v>
      </c>
      <c r="I32" s="9" t="s">
        <v>136</v>
      </c>
    </row>
    <row r="33" customFormat="false" ht="23.85" hidden="false" customHeight="false" outlineLevel="0" collapsed="false">
      <c r="A33" s="18" t="s">
        <v>131</v>
      </c>
      <c r="B33" s="18" t="s">
        <v>132</v>
      </c>
      <c r="C33" s="19" t="s">
        <v>137</v>
      </c>
      <c r="D33" s="10" t="n">
        <v>1</v>
      </c>
      <c r="E33" s="7"/>
      <c r="F33" s="11"/>
      <c r="G33" s="9" t="s">
        <v>138</v>
      </c>
      <c r="H33" s="9" t="s">
        <v>139</v>
      </c>
      <c r="I33" s="9" t="s">
        <v>140</v>
      </c>
    </row>
    <row r="34" customFormat="false" ht="15" hidden="false" customHeight="false" outlineLevel="0" collapsed="false">
      <c r="A34" s="18" t="s">
        <v>131</v>
      </c>
      <c r="B34" s="18" t="s">
        <v>141</v>
      </c>
      <c r="C34" s="19" t="s">
        <v>142</v>
      </c>
      <c r="D34" s="10" t="n">
        <v>0.35</v>
      </c>
      <c r="E34" s="7" t="s">
        <v>143</v>
      </c>
      <c r="F34" s="11"/>
      <c r="G34" s="9" t="s">
        <v>144</v>
      </c>
      <c r="H34" s="9" t="s">
        <v>145</v>
      </c>
      <c r="I34" s="9" t="s">
        <v>146</v>
      </c>
    </row>
    <row r="35" customFormat="false" ht="15" hidden="false" customHeight="false" outlineLevel="0" collapsed="false">
      <c r="A35" s="18" t="s">
        <v>131</v>
      </c>
      <c r="B35" s="18" t="s">
        <v>141</v>
      </c>
      <c r="C35" s="19" t="s">
        <v>147</v>
      </c>
      <c r="D35" s="12" t="n">
        <v>3000</v>
      </c>
      <c r="E35" s="7" t="s">
        <v>91</v>
      </c>
      <c r="F35" s="13"/>
      <c r="G35" s="9" t="s">
        <v>148</v>
      </c>
      <c r="H35" s="9" t="s">
        <v>149</v>
      </c>
      <c r="I35" s="9" t="s">
        <v>150</v>
      </c>
    </row>
    <row r="36" customFormat="false" ht="15" hidden="false" customHeight="false" outlineLevel="0" collapsed="false">
      <c r="A36" s="20" t="s">
        <v>151</v>
      </c>
      <c r="B36" s="20" t="s">
        <v>152</v>
      </c>
      <c r="C36" s="21" t="s">
        <v>153</v>
      </c>
      <c r="D36" s="6" t="s">
        <v>154</v>
      </c>
      <c r="E36" s="7" t="s">
        <v>155</v>
      </c>
      <c r="F36" s="8"/>
      <c r="G36" s="9" t="s">
        <v>156</v>
      </c>
      <c r="H36" s="9" t="s">
        <v>157</v>
      </c>
      <c r="I36" s="9" t="s">
        <v>158</v>
      </c>
    </row>
    <row r="37" customFormat="false" ht="15" hidden="false" customHeight="false" outlineLevel="0" collapsed="false">
      <c r="A37" s="20" t="s">
        <v>151</v>
      </c>
      <c r="B37" s="20" t="s">
        <v>159</v>
      </c>
      <c r="C37" s="21" t="s">
        <v>160</v>
      </c>
      <c r="D37" s="10" t="n">
        <v>1.5</v>
      </c>
      <c r="E37" s="7"/>
      <c r="F37" s="11"/>
      <c r="G37" s="9" t="s">
        <v>161</v>
      </c>
      <c r="H37" s="9" t="s">
        <v>162</v>
      </c>
      <c r="I37" s="9" t="s">
        <v>163</v>
      </c>
    </row>
    <row r="38" customFormat="false" ht="15" hidden="false" customHeight="false" outlineLevel="0" collapsed="false">
      <c r="A38" s="20" t="s">
        <v>151</v>
      </c>
      <c r="B38" s="20" t="s">
        <v>159</v>
      </c>
      <c r="C38" s="21" t="s">
        <v>164</v>
      </c>
      <c r="D38" s="10" t="n">
        <v>4</v>
      </c>
      <c r="E38" s="7"/>
      <c r="F38" s="11"/>
      <c r="G38" s="9" t="s">
        <v>165</v>
      </c>
      <c r="H38" s="9" t="s">
        <v>166</v>
      </c>
      <c r="I38" s="9" t="s">
        <v>167</v>
      </c>
    </row>
    <row r="39" customFormat="false" ht="15" hidden="false" customHeight="false" outlineLevel="0" collapsed="false">
      <c r="A39" s="20" t="s">
        <v>151</v>
      </c>
      <c r="B39" s="20" t="s">
        <v>159</v>
      </c>
      <c r="C39" s="21" t="s">
        <v>168</v>
      </c>
      <c r="D39" s="10" t="n">
        <v>4</v>
      </c>
      <c r="E39" s="7"/>
      <c r="F39" s="11"/>
      <c r="G39" s="9" t="s">
        <v>169</v>
      </c>
      <c r="H39" s="9" t="s">
        <v>170</v>
      </c>
      <c r="I39" s="9" t="s">
        <v>171</v>
      </c>
    </row>
    <row r="40" customFormat="false" ht="23.85" hidden="false" customHeight="false" outlineLevel="0" collapsed="false">
      <c r="A40" s="20" t="s">
        <v>151</v>
      </c>
      <c r="B40" s="20" t="s">
        <v>172</v>
      </c>
      <c r="C40" s="21" t="s">
        <v>173</v>
      </c>
      <c r="D40" s="6" t="s">
        <v>174</v>
      </c>
      <c r="E40" s="7"/>
      <c r="F40" s="8"/>
      <c r="G40" s="9" t="s">
        <v>175</v>
      </c>
      <c r="H40" s="9"/>
      <c r="I40" s="9"/>
    </row>
    <row r="41" customFormat="false" ht="15" hidden="false" customHeight="false" outlineLevel="0" collapsed="false">
      <c r="A41" s="20" t="s">
        <v>151</v>
      </c>
      <c r="B41" s="20" t="s">
        <v>172</v>
      </c>
      <c r="C41" s="21" t="s">
        <v>176</v>
      </c>
      <c r="D41" s="10" t="n">
        <v>5</v>
      </c>
      <c r="E41" s="7" t="s">
        <v>86</v>
      </c>
      <c r="F41" s="11"/>
      <c r="G41" s="9" t="s">
        <v>177</v>
      </c>
      <c r="H41" s="9" t="s">
        <v>178</v>
      </c>
      <c r="I41" s="9" t="s">
        <v>179</v>
      </c>
    </row>
    <row r="42" customFormat="false" ht="15" hidden="false" customHeight="false" outlineLevel="0" collapsed="false">
      <c r="A42" s="20" t="s">
        <v>151</v>
      </c>
      <c r="B42" s="20" t="s">
        <v>172</v>
      </c>
      <c r="C42" s="21" t="s">
        <v>180</v>
      </c>
      <c r="D42" s="10" t="n">
        <v>0.05</v>
      </c>
      <c r="E42" s="7"/>
      <c r="F42" s="11"/>
      <c r="G42" s="9" t="s">
        <v>181</v>
      </c>
      <c r="H42" s="9" t="s">
        <v>182</v>
      </c>
      <c r="I42" s="9" t="s">
        <v>183</v>
      </c>
    </row>
    <row r="43" customFormat="false" ht="15" hidden="false" customHeight="false" outlineLevel="0" collapsed="false">
      <c r="A43" s="20" t="s">
        <v>151</v>
      </c>
      <c r="B43" s="20" t="s">
        <v>172</v>
      </c>
      <c r="C43" s="21" t="s">
        <v>184</v>
      </c>
      <c r="D43" s="10" t="n">
        <v>45</v>
      </c>
      <c r="E43" s="7" t="s">
        <v>101</v>
      </c>
      <c r="F43" s="11"/>
      <c r="G43" s="9" t="s">
        <v>185</v>
      </c>
      <c r="H43" s="9"/>
      <c r="I43" s="9"/>
    </row>
    <row r="44" customFormat="false" ht="15" hidden="false" customHeight="false" outlineLevel="0" collapsed="false">
      <c r="A44" s="22" t="s">
        <v>186</v>
      </c>
      <c r="B44" s="22" t="s">
        <v>187</v>
      </c>
      <c r="C44" s="23" t="s">
        <v>188</v>
      </c>
      <c r="D44" s="12" t="n">
        <v>1500</v>
      </c>
      <c r="E44" s="7" t="s">
        <v>189</v>
      </c>
      <c r="F44" s="13"/>
      <c r="G44" s="9" t="s">
        <v>190</v>
      </c>
      <c r="H44" s="9" t="s">
        <v>191</v>
      </c>
      <c r="I44" s="9" t="s">
        <v>192</v>
      </c>
    </row>
    <row r="45" customFormat="false" ht="15" hidden="false" customHeight="false" outlineLevel="0" collapsed="false">
      <c r="A45" s="22" t="s">
        <v>186</v>
      </c>
      <c r="B45" s="22" t="s">
        <v>187</v>
      </c>
      <c r="C45" s="23" t="s">
        <v>193</v>
      </c>
      <c r="D45" s="6" t="s">
        <v>193</v>
      </c>
      <c r="E45" s="7"/>
      <c r="F45" s="8"/>
      <c r="G45" s="9" t="s">
        <v>194</v>
      </c>
      <c r="H45" s="9"/>
      <c r="I45" s="9"/>
    </row>
    <row r="46" customFormat="false" ht="15" hidden="false" customHeight="false" outlineLevel="0" collapsed="false">
      <c r="A46" s="22" t="s">
        <v>186</v>
      </c>
      <c r="B46" s="22" t="s">
        <v>187</v>
      </c>
      <c r="C46" s="23" t="s">
        <v>195</v>
      </c>
      <c r="D46" s="6" t="s">
        <v>196</v>
      </c>
      <c r="E46" s="7"/>
      <c r="F46" s="8"/>
      <c r="G46" s="9" t="s">
        <v>197</v>
      </c>
      <c r="H46" s="9"/>
      <c r="I46" s="9"/>
    </row>
    <row r="48" customFormat="false" ht="15" hidden="false" customHeight="false" outlineLevel="0" collapsed="false">
      <c r="A48" s="24" t="s">
        <v>198</v>
      </c>
    </row>
  </sheetData>
  <autoFilter ref="A4:I46"/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199</v>
      </c>
    </row>
    <row r="3" customFormat="false" ht="15" hidden="false" customHeight="false" outlineLevel="0" collapsed="false">
      <c r="A3" s="25" t="s">
        <v>200</v>
      </c>
      <c r="B3" s="25" t="s">
        <v>201</v>
      </c>
      <c r="C3" s="25" t="s">
        <v>6</v>
      </c>
      <c r="D3" s="25" t="s">
        <v>202</v>
      </c>
    </row>
    <row r="4" customFormat="false" ht="15" hidden="false" customHeight="false" outlineLevel="0" collapsed="false">
      <c r="A4" s="26" t="s">
        <v>203</v>
      </c>
      <c r="B4" s="27" t="n">
        <f aca="false">IF(Variables!F44="",Variables!D44,Variables!F44)</f>
        <v>1500</v>
      </c>
      <c r="C4" s="28" t="s">
        <v>189</v>
      </c>
      <c r="D4" s="26" t="s">
        <v>204</v>
      </c>
    </row>
    <row r="5" customFormat="false" ht="15" hidden="false" customHeight="false" outlineLevel="0" collapsed="false">
      <c r="A5" s="26" t="s">
        <v>205</v>
      </c>
      <c r="B5" s="27" t="n">
        <f aca="false">IF(Variables!F13="",Variables!D13,Variables!F13)</f>
        <v>25000</v>
      </c>
      <c r="C5" s="28" t="s">
        <v>40</v>
      </c>
      <c r="D5" s="26" t="s">
        <v>206</v>
      </c>
    </row>
    <row r="6" customFormat="false" ht="15" hidden="false" customHeight="false" outlineLevel="0" collapsed="false">
      <c r="A6" s="26" t="s">
        <v>207</v>
      </c>
      <c r="B6" s="27" t="n">
        <f aca="false">IF(Variables!F11="",Variables!D11,Variables!F11)</f>
        <v>0.9</v>
      </c>
      <c r="C6" s="28" t="s">
        <v>32</v>
      </c>
      <c r="D6" s="26" t="s">
        <v>208</v>
      </c>
    </row>
    <row r="7" customFormat="false" ht="15" hidden="false" customHeight="false" outlineLevel="0" collapsed="false">
      <c r="A7" s="26" t="s">
        <v>209</v>
      </c>
      <c r="B7" s="27" t="n">
        <f aca="false">IF(Variables!F12="",Variables!D12,Variables!F12)</f>
        <v>0.5</v>
      </c>
      <c r="C7" s="28" t="s">
        <v>32</v>
      </c>
      <c r="D7" s="26" t="s">
        <v>210</v>
      </c>
    </row>
    <row r="8" customFormat="false" ht="15" hidden="false" customHeight="false" outlineLevel="0" collapsed="false">
      <c r="A8" s="26" t="s">
        <v>211</v>
      </c>
      <c r="B8" s="27" t="n">
        <f aca="false">IF(Variables!F29="",Variables!D29,Variables!F29)</f>
        <v>100</v>
      </c>
      <c r="C8" s="28" t="s">
        <v>121</v>
      </c>
      <c r="D8" s="26" t="s">
        <v>212</v>
      </c>
    </row>
    <row r="9" customFormat="false" ht="15" hidden="false" customHeight="false" outlineLevel="0" collapsed="false">
      <c r="A9" s="26" t="s">
        <v>213</v>
      </c>
      <c r="B9" s="27" t="n">
        <f aca="false">IF(Variables!F30="",Variables!D30,Variables!F30)</f>
        <v>25</v>
      </c>
      <c r="C9" s="28" t="s">
        <v>66</v>
      </c>
      <c r="D9" s="26" t="s">
        <v>214</v>
      </c>
    </row>
    <row r="10" customFormat="false" ht="15" hidden="false" customHeight="false" outlineLevel="0" collapsed="false">
      <c r="A10" s="26" t="s">
        <v>215</v>
      </c>
      <c r="B10" s="27" t="n">
        <f aca="false">IF(Variables!F31="",Variables!D31,Variables!F31)</f>
        <v>10</v>
      </c>
      <c r="C10" s="28" t="s">
        <v>66</v>
      </c>
      <c r="D10" s="26" t="s">
        <v>216</v>
      </c>
    </row>
    <row r="11" customFormat="false" ht="15" hidden="false" customHeight="false" outlineLevel="0" collapsed="false">
      <c r="A11" s="26" t="s">
        <v>217</v>
      </c>
      <c r="B11" s="27" t="n">
        <f aca="false">IF(Variables!F22="",Variables!D22,Variables!F22)</f>
        <v>25</v>
      </c>
      <c r="C11" s="28" t="s">
        <v>86</v>
      </c>
      <c r="D11" s="26" t="s">
        <v>218</v>
      </c>
    </row>
    <row r="12" customFormat="false" ht="15" hidden="false" customHeight="false" outlineLevel="0" collapsed="false">
      <c r="A12" s="26" t="s">
        <v>219</v>
      </c>
      <c r="B12" s="29" t="n">
        <v>9.81</v>
      </c>
      <c r="C12" s="28" t="s">
        <v>220</v>
      </c>
      <c r="D12" s="26" t="s">
        <v>221</v>
      </c>
    </row>
    <row r="13" customFormat="false" ht="15" hidden="false" customHeight="false" outlineLevel="0" collapsed="false">
      <c r="A13" s="26" t="s">
        <v>222</v>
      </c>
      <c r="B13" s="29" t="n">
        <v>4</v>
      </c>
      <c r="C13" s="28" t="s">
        <v>223</v>
      </c>
      <c r="D13" s="26" t="s">
        <v>224</v>
      </c>
    </row>
    <row r="14" customFormat="false" ht="15" hidden="false" customHeight="false" outlineLevel="0" collapsed="false">
      <c r="B14" s="30"/>
      <c r="C14" s="30"/>
    </row>
    <row r="15" customFormat="false" ht="15" hidden="false" customHeight="false" outlineLevel="0" collapsed="false">
      <c r="A15" s="25" t="s">
        <v>225</v>
      </c>
      <c r="B15" s="25" t="s">
        <v>201</v>
      </c>
      <c r="C15" s="25" t="s">
        <v>6</v>
      </c>
      <c r="D15" s="25" t="s">
        <v>226</v>
      </c>
    </row>
    <row r="16" customFormat="false" ht="15" hidden="false" customHeight="false" outlineLevel="0" collapsed="false">
      <c r="A16" s="26" t="s">
        <v>227</v>
      </c>
      <c r="B16" s="31" t="n">
        <f aca="false">B4*B12/B13</f>
        <v>3678.75</v>
      </c>
      <c r="C16" s="28" t="s">
        <v>77</v>
      </c>
      <c r="D16" s="26" t="s">
        <v>228</v>
      </c>
    </row>
    <row r="17" customFormat="false" ht="15" hidden="false" customHeight="false" outlineLevel="0" collapsed="false">
      <c r="A17" s="26" t="s">
        <v>229</v>
      </c>
      <c r="B17" s="32" t="n">
        <f aca="false">B16/B5</f>
        <v>0.14715</v>
      </c>
      <c r="C17" s="28" t="s">
        <v>32</v>
      </c>
      <c r="D17" s="26" t="s">
        <v>230</v>
      </c>
    </row>
    <row r="18" customFormat="false" ht="15" hidden="false" customHeight="false" outlineLevel="0" collapsed="false">
      <c r="A18" s="26" t="s">
        <v>231</v>
      </c>
      <c r="B18" s="32" t="n">
        <f aca="false">B7+B6</f>
        <v>1.4</v>
      </c>
      <c r="C18" s="28" t="s">
        <v>32</v>
      </c>
      <c r="D18" s="26" t="s">
        <v>232</v>
      </c>
    </row>
    <row r="19" customFormat="false" ht="15" hidden="false" customHeight="false" outlineLevel="0" collapsed="false">
      <c r="A19" s="26" t="s">
        <v>233</v>
      </c>
      <c r="B19" s="32" t="n">
        <f aca="false">B7+B6-B17</f>
        <v>1.25285</v>
      </c>
      <c r="C19" s="28" t="s">
        <v>32</v>
      </c>
      <c r="D19" s="26" t="s">
        <v>234</v>
      </c>
    </row>
    <row r="20" customFormat="false" ht="15" hidden="false" customHeight="false" outlineLevel="0" collapsed="false">
      <c r="A20" s="26" t="s">
        <v>235</v>
      </c>
      <c r="B20" s="33" t="n">
        <f aca="false">B17/B6</f>
        <v>0.1635</v>
      </c>
      <c r="C20" s="28" t="s">
        <v>236</v>
      </c>
      <c r="D20" s="26" t="s">
        <v>237</v>
      </c>
    </row>
    <row r="21" customFormat="false" ht="15" hidden="false" customHeight="false" outlineLevel="0" collapsed="false">
      <c r="A21" s="26" t="s">
        <v>238</v>
      </c>
      <c r="B21" s="34" t="n">
        <f aca="false">B8/B9</f>
        <v>4</v>
      </c>
      <c r="C21" s="28" t="s">
        <v>239</v>
      </c>
      <c r="D21" s="26" t="s">
        <v>240</v>
      </c>
    </row>
    <row r="22" customFormat="false" ht="15" hidden="false" customHeight="false" outlineLevel="0" collapsed="false">
      <c r="A22" s="26" t="s">
        <v>241</v>
      </c>
      <c r="B22" s="34" t="n">
        <f aca="false">B8/B10</f>
        <v>10</v>
      </c>
      <c r="C22" s="28" t="s">
        <v>239</v>
      </c>
      <c r="D22" s="26" t="s">
        <v>242</v>
      </c>
    </row>
    <row r="23" customFormat="false" ht="15" hidden="false" customHeight="false" outlineLevel="0" collapsed="false">
      <c r="A23" s="26" t="s">
        <v>217</v>
      </c>
      <c r="B23" s="35" t="n">
        <f aca="false">B11*3.6</f>
        <v>90</v>
      </c>
      <c r="C23" s="28" t="s">
        <v>243</v>
      </c>
      <c r="D23" s="26" t="s">
        <v>244</v>
      </c>
    </row>
    <row r="25" customFormat="false" ht="15" hidden="false" customHeight="false" outlineLevel="0" collapsed="false">
      <c r="A25" s="36" t="s">
        <v>245</v>
      </c>
    </row>
    <row r="26" customFormat="false" ht="15" hidden="false" customHeight="false" outlineLevel="0" collapsed="false">
      <c r="A26" s="37" t="s">
        <v>246</v>
      </c>
    </row>
    <row r="27" customFormat="false" ht="15" hidden="false" customHeight="false" outlineLevel="0" collapsed="false">
      <c r="A27" s="37" t="s">
        <v>247</v>
      </c>
    </row>
    <row r="28" customFormat="false" ht="15" hidden="false" customHeight="false" outlineLevel="0" collapsed="false">
      <c r="A28" s="37" t="s">
        <v>248</v>
      </c>
    </row>
    <row r="29" customFormat="false" ht="15" hidden="false" customHeight="false" outlineLevel="0" collapsed="false">
      <c r="A29" s="37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2026-10-16T15:04:34Z</dcterms:created>
  <dc:creator>openpyxl</dc:creator>
  <dc:description/>
  <dc:language>en-US</dc:language>
  <cp:lastModifiedBy/>
  <dcterms:modified xsi:type="dcterms:W3CDTF">2026-10-16T15:04:34Z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
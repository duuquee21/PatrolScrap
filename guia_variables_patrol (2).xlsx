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kerDuqueDelgado\Proyecto4\PatrolScrapRepo\PatrolScrap\"/>
    </mc:Choice>
  </mc:AlternateContent>
  <xr:revisionPtr revIDLastSave="0" documentId="13_ncr:1_{2990E21B-A875-45E9-B8B6-A343969EF27F}" xr6:coauthVersionLast="47" xr6:coauthVersionMax="47" xr10:uidLastSave="{00000000-0000-0000-0000-000000000000}"/>
  <bookViews>
    <workbookView xWindow="3720" yWindow="2520" windowWidth="21600" windowHeight="11295" tabRatio="500" xr2:uid="{00000000-000D-0000-FFFF-FFFF00000000}"/>
  </bookViews>
  <sheets>
    <sheet name="Variables" sheetId="1" r:id="rId1"/>
    <sheet name="Relaciones" sheetId="2" r:id="rId2"/>
  </sheets>
  <definedNames>
    <definedName name="_xlnm._FilterDatabase" localSheetId="0" hidden="1">Variables!$A$4:$I$115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2" l="1"/>
  <c r="B23" i="2"/>
  <c r="B22" i="2"/>
  <c r="B61" i="2" s="1"/>
  <c r="B62" i="2" s="1"/>
  <c r="B21" i="2"/>
  <c r="B56" i="2" s="1"/>
  <c r="B20" i="2"/>
  <c r="B55" i="2" s="1"/>
  <c r="B19" i="2"/>
  <c r="B18" i="2"/>
  <c r="B17" i="2"/>
  <c r="B50" i="2" s="1"/>
  <c r="B51" i="2" s="1"/>
  <c r="B16" i="2"/>
  <c r="B15" i="2"/>
  <c r="B14" i="2"/>
  <c r="B45" i="2" s="1"/>
  <c r="B13" i="2"/>
  <c r="B48" i="2" s="1"/>
  <c r="B12" i="2"/>
  <c r="B11" i="2"/>
  <c r="B10" i="2"/>
  <c r="B41" i="2" s="1"/>
  <c r="B9" i="2"/>
  <c r="B39" i="2" s="1"/>
  <c r="B8" i="2"/>
  <c r="B7" i="2"/>
  <c r="B6" i="2"/>
  <c r="B5" i="2"/>
  <c r="B31" i="2" s="1"/>
  <c r="B32" i="2" l="1"/>
  <c r="B35" i="2" s="1"/>
  <c r="B40" i="2"/>
  <c r="B34" i="2"/>
  <c r="B46" i="2"/>
  <c r="B60" i="2"/>
  <c r="B33" i="2"/>
  <c r="B47" i="2" l="1"/>
  <c r="B49" i="2"/>
</calcChain>
</file>

<file path=xl/sharedStrings.xml><?xml version="1.0" encoding="utf-8"?>
<sst xmlns="http://schemas.openxmlformats.org/spreadsheetml/2006/main" count="865" uniqueCount="554">
  <si>
    <t>Guía de variables del Inspector – Patrol Scrap (Unity)</t>
  </si>
  <si>
    <t>Leyenda: azul = valor inicial de los scripts (constante) · fondo amarillo = columna 'Mi valor', escribe aquí los tuyos. Si la dejas vacía, las fórmulas de la hoja 'Relaciones' usan el valor inicial.</t>
  </si>
  <si>
    <t>Script</t>
  </si>
  <si>
    <t>Sección</t>
  </si>
  <si>
    <t>Variable</t>
  </si>
  <si>
    <t>Valor inicial</t>
  </si>
  <si>
    <t>Unidad</t>
  </si>
  <si>
    <t>Mi valor</t>
  </si>
  <si>
    <t>Para qué sirve</t>
  </si>
  <si>
    <t>Si la subes</t>
  </si>
  <si>
    <t>Si la bajas</t>
  </si>
  <si>
    <t>SuspensionCoche</t>
  </si>
  <si>
    <t>Ruedas</t>
  </si>
  <si>
    <t>Ruedas (lista)</t>
  </si>
  <si>
    <t>4 elementos</t>
  </si>
  <si>
    <t>Una entrada por rueda (FL, FR, BL, BR)</t>
  </si>
  <si>
    <t>Anclaje</t>
  </si>
  <si>
    <t>Rueda_XX</t>
  </si>
  <si>
    <t>Punto de donde sale el SphereCast. Las delanteras giran aquí</t>
  </si>
  <si>
    <t>Pivote</t>
  </si>
  <si>
    <t>Objeto visual que sube y baja con el resorte</t>
  </si>
  <si>
    <t>Delantera</t>
  </si>
  <si>
    <t>Sí en FL y FR</t>
  </si>
  <si>
    <t>Marca las ruedas que giran con la dirección</t>
  </si>
  <si>
    <t>Traccion</t>
  </si>
  <si>
    <t>Sí en las 4</t>
  </si>
  <si>
    <t>Marca las ruedas que reciben fuerza del motor (4x4)</t>
  </si>
  <si>
    <t>Suspensión</t>
  </si>
  <si>
    <t>Capa Suelo</t>
  </si>
  <si>
    <t>Suelo</t>
  </si>
  <si>
    <t>Capa que detecta el SphereCast. Si no está marcada, el coche cae</t>
  </si>
  <si>
    <t>Longitud Maxima</t>
  </si>
  <si>
    <t>m</t>
  </si>
  <si>
    <t>Recorrido total del resorte (desde el anclaje hasta donde llega el cast)</t>
  </si>
  <si>
    <t>Más recorrido y más exagerado</t>
  </si>
  <si>
    <t>Toca fondo antes</t>
  </si>
  <si>
    <t>Radio Rueda</t>
  </si>
  <si>
    <t>Radio de la esfera del cast. Debe coincidir con el neumático real</t>
  </si>
  <si>
    <t>Si no coincide con el neumático, la rueda se ve hundida o flotando</t>
  </si>
  <si>
    <t>Rigidez</t>
  </si>
  <si>
    <t>N/m</t>
  </si>
  <si>
    <t>Fuerza del resorte por metro comprimido</t>
  </si>
  <si>
    <t>Coche duro</t>
  </si>
  <si>
    <t>Coche blando, se hunde y se balancea</t>
  </si>
  <si>
    <t>Amortiguacion</t>
  </si>
  <si>
    <t>N·s/m</t>
  </si>
  <si>
    <t>Frena el rebote según la velocidad de compresión</t>
  </si>
  <si>
    <t>Se asienta rápido, sin vida</t>
  </si>
  <si>
    <t>Rebota varias veces</t>
  </si>
  <si>
    <t>Tope</t>
  </si>
  <si>
    <t>Inicio Tope</t>
  </si>
  <si>
    <t>fracción (0.5-0.95)</t>
  </si>
  <si>
    <t>A qué fracción del recorrido empieza el 'tope de goma'</t>
  </si>
  <si>
    <t>El tope actúa más tarde</t>
  </si>
  <si>
    <t>El tope actúa antes</t>
  </si>
  <si>
    <t>Rigidez Tope</t>
  </si>
  <si>
    <t>Dureza extra al final del recorrido, para que el cuerpo no toque fondo</t>
  </si>
  <si>
    <t>Tope más duro</t>
  </si>
  <si>
    <t>Tope más blando</t>
  </si>
  <si>
    <t>Depuración</t>
  </si>
  <si>
    <t>Mostrar Gizmos</t>
  </si>
  <si>
    <t>No</t>
  </si>
  <si>
    <t>Dibuja esferas amarillas (recorrido) y rojas (física) en la Scene</t>
  </si>
  <si>
    <t>EntradaCoche</t>
  </si>
  <si>
    <t>Entrada</t>
  </si>
  <si>
    <t>Velocidad Acelerador</t>
  </si>
  <si>
    <t>unidades/s</t>
  </si>
  <si>
    <t>Lo rápido que sube el acelerador de 0 a 1</t>
  </si>
  <si>
    <t>Respuesta brusca</t>
  </si>
  <si>
    <t>Más progresiva</t>
  </si>
  <si>
    <t>Velocidad Direccion</t>
  </si>
  <si>
    <t>Lo rápido que gira el volante virtual</t>
  </si>
  <si>
    <t>Giro más nervioso</t>
  </si>
  <si>
    <t>Más suave</t>
  </si>
  <si>
    <t>MotorCoche</t>
  </si>
  <si>
    <t>Motor</t>
  </si>
  <si>
    <t>Fuerza Motor</t>
  </si>
  <si>
    <t>N</t>
  </si>
  <si>
    <t>Empuje total, repartido entre las ruedas de tracción</t>
  </si>
  <si>
    <t>Acelera más</t>
  </si>
  <si>
    <t>Acelera menos</t>
  </si>
  <si>
    <t>Fuerza Freno</t>
  </si>
  <si>
    <t>Fuerza al pedir lo contrario a lo que haces (vas adelante y pulsas S)</t>
  </si>
  <si>
    <t>Frena más en seco</t>
  </si>
  <si>
    <t>Frena más suave</t>
  </si>
  <si>
    <t>Velocidad Maxima</t>
  </si>
  <si>
    <t>m/s</t>
  </si>
  <si>
    <t>Velocidad a la que el motor deja de empujar (25 m/s = 90 km/h)</t>
  </si>
  <si>
    <t>Más velocidad punta</t>
  </si>
  <si>
    <t>Menos velocidad punta</t>
  </si>
  <si>
    <t>Rozamiento</t>
  </si>
  <si>
    <t>N por m/s</t>
  </si>
  <si>
    <t>Resistencia constante, también acelerando</t>
  </si>
  <si>
    <t>Baja la velocidad máxima real</t>
  </si>
  <si>
    <t>Menos resistencia</t>
  </si>
  <si>
    <t>Freno Motor</t>
  </si>
  <si>
    <t>Resistencia extra solo al soltar el acelerador</t>
  </si>
  <si>
    <t>Se detiene antes</t>
  </si>
  <si>
    <t>Rueda más</t>
  </si>
  <si>
    <t>Dirección</t>
  </si>
  <si>
    <t>Angulo Maximo</t>
  </si>
  <si>
    <t>grados</t>
  </si>
  <si>
    <t>Giro máximo de las ruedas delanteras</t>
  </si>
  <si>
    <t>Gira más cerrado</t>
  </si>
  <si>
    <t>Gira más abierto</t>
  </si>
  <si>
    <t>Giro A Velocidad Maxima</t>
  </si>
  <si>
    <t>fracción</t>
  </si>
  <si>
    <t>Porcentaje de giro disponible a tope de velocidad (0.35 = 35 %)</t>
  </si>
  <si>
    <t>Más sensible a alta velocidad</t>
  </si>
  <si>
    <t>Más estable a alta velocidad</t>
  </si>
  <si>
    <t>Turbo</t>
  </si>
  <si>
    <t>Multiplicador Turbo</t>
  </si>
  <si>
    <t>x</t>
  </si>
  <si>
    <t>Multiplica la fuerza del motor con turbo</t>
  </si>
  <si>
    <t>Empuje mayor</t>
  </si>
  <si>
    <t>Empuje menor</t>
  </si>
  <si>
    <t>Velocidad Maxima Turbo</t>
  </si>
  <si>
    <t>Nuevo techo de velocidad con turbo</t>
  </si>
  <si>
    <t>Más velocidad punta con turbo</t>
  </si>
  <si>
    <t>Menos velocidad punta con turbo</t>
  </si>
  <si>
    <t>Capacidad Turbo</t>
  </si>
  <si>
    <t>unidades</t>
  </si>
  <si>
    <t>Tamaño del depósito de turbo</t>
  </si>
  <si>
    <t>Dura más</t>
  </si>
  <si>
    <t>Dura menos</t>
  </si>
  <si>
    <t>Consumo Turbo</t>
  </si>
  <si>
    <t>Lo que gasta por segundo con el turbo activo</t>
  </si>
  <si>
    <t>Recarga Turbo</t>
  </si>
  <si>
    <t>Lo que recupera por segundo si no lo usas</t>
  </si>
  <si>
    <t>Recarga antes</t>
  </si>
  <si>
    <t>Recarga más lento</t>
  </si>
  <si>
    <t>AgarreCoche</t>
  </si>
  <si>
    <t>Agarre lateral</t>
  </si>
  <si>
    <t>Rigidez Lateral</t>
  </si>
  <si>
    <t>Lo fuerte que frena el deslizamiento lateral</t>
  </si>
  <si>
    <t>Más agarre (si vibra al ir recto, bájala a 2000-3000)</t>
  </si>
  <si>
    <t>Más deslizamiento</t>
  </si>
  <si>
    <t>Coeficiente Agarre</t>
  </si>
  <si>
    <t>Límite de adherencia: fuerza lateral máxima = peso sobre la rueda × este valor. 1 = asfalto, 0.5 = arena suelta</t>
  </si>
  <si>
    <t>Más agarre</t>
  </si>
  <si>
    <t>Derrapa antes</t>
  </si>
  <si>
    <t>Freno de mano</t>
  </si>
  <si>
    <t>Agarre Trasero Con Freno</t>
  </si>
  <si>
    <t>fracción (0-1)</t>
  </si>
  <si>
    <t>Fracción de agarre que conservan las traseras con el freno de mano</t>
  </si>
  <si>
    <t>Menos derrape</t>
  </si>
  <si>
    <t>Derrapa más fácil</t>
  </si>
  <si>
    <t>Frenado Freno Mano</t>
  </si>
  <si>
    <t>Cuánto frena hacia delante el freno de mano</t>
  </si>
  <si>
    <t>Frena más</t>
  </si>
  <si>
    <t>Frena menos</t>
  </si>
  <si>
    <t>EstabilidadCoche</t>
  </si>
  <si>
    <t>Centro de masa</t>
  </si>
  <si>
    <t>Centro De Masa</t>
  </si>
  <si>
    <t>(0, -0.4, 0)</t>
  </si>
  <si>
    <t>m (local)</t>
  </si>
  <si>
    <t>Punto de equilibrio del coche, relativo a Patrol</t>
  </si>
  <si>
    <t>Más alto (Y mayor): vuelca fácil</t>
  </si>
  <si>
    <t>Más bajo (Y negativa): cuesta más volcar</t>
  </si>
  <si>
    <t>Damping rotacional</t>
  </si>
  <si>
    <t>Damping Yaw</t>
  </si>
  <si>
    <t>Freno al giro izquierda/derecha del coche</t>
  </si>
  <si>
    <t>Deja de rotar antes, pero cuesta girar</t>
  </si>
  <si>
    <t>Gira más libre</t>
  </si>
  <si>
    <t>Damping Roll</t>
  </si>
  <si>
    <t>Freno al vuelco lateral</t>
  </si>
  <si>
    <t>Se inclina menos</t>
  </si>
  <si>
    <t>Se inclina más</t>
  </si>
  <si>
    <t>Damping Pitch</t>
  </si>
  <si>
    <t>Freno al cabeceo (morro arriba/abajo)</t>
  </si>
  <si>
    <t>Cabecea menos</t>
  </si>
  <si>
    <t>Cabecea más</t>
  </si>
  <si>
    <t>Asistencia</t>
  </si>
  <si>
    <t>Ayudas Activas</t>
  </si>
  <si>
    <t>Sí</t>
  </si>
  <si>
    <t>Activa o desactiva la asistencia de alineación (opción de accesibilidad del GDD)</t>
  </si>
  <si>
    <t>Velocidad Minima Asistencia</t>
  </si>
  <si>
    <t>Por debajo de esta velocidad la asistencia no actúa</t>
  </si>
  <si>
    <t>Actúa solo a más velocidad</t>
  </si>
  <si>
    <t>Actúa también a poca velocidad</t>
  </si>
  <si>
    <t>Fuerza Alineacion</t>
  </si>
  <si>
    <t>Intensidad con la que se alinea el morro con la trayectoria</t>
  </si>
  <si>
    <t>'Sobre raíles'</t>
  </si>
  <si>
    <t>Más libre para derrapar</t>
  </si>
  <si>
    <t>Angulo Maximo Asistencia</t>
  </si>
  <si>
    <t>Ángulo de derrape a partir del cual la asistencia deja de crecer</t>
  </si>
  <si>
    <t>CamaraSprung</t>
  </si>
  <si>
    <t>Objetivo</t>
  </si>
  <si>
    <t>Patrol</t>
  </si>
  <si>
    <t>Transform al que sigue la cámara</t>
  </si>
  <si>
    <t>Posición</t>
  </si>
  <si>
    <t>Distancia Min</t>
  </si>
  <si>
    <t>Distancia en línea recta al coche, parado</t>
  </si>
  <si>
    <t>Coche más pequeño en pantalla</t>
  </si>
  <si>
    <t>Coche más grande</t>
  </si>
  <si>
    <t>Distancia Max</t>
  </si>
  <si>
    <t>Distancia en línea recta a tope de velocidad (se aleja al ir rápido)</t>
  </si>
  <si>
    <t>Más sensación de velocidad</t>
  </si>
  <si>
    <t>Menos</t>
  </si>
  <si>
    <t>Angulo Elevacion</t>
  </si>
  <si>
    <t>Cuánto mira hacia abajo: 0 = a la altura del coche, 90 = cenital puro (no pasar de 85)</t>
  </si>
  <si>
    <t>Más vista de pájaro</t>
  </si>
  <si>
    <t>Más horizonte</t>
  </si>
  <si>
    <t>Adelanto Min</t>
  </si>
  <si>
    <t>El centro del encuadre va por delante del coche (parado). Más adelanto = coche más abajo en pantalla</t>
  </si>
  <si>
    <t>Coche más abajo, ves más camino</t>
  </si>
  <si>
    <t>Coche más centrado</t>
  </si>
  <si>
    <t>Adelanto Max</t>
  </si>
  <si>
    <t>Igual que Adelanto Min pero a tope de velocidad</t>
  </si>
  <si>
    <t>Ves más camino a gran velocidad</t>
  </si>
  <si>
    <t>Resorte</t>
  </si>
  <si>
    <t>Fuerza del resorte que tira de la cámara hacia su posición deseada</t>
  </si>
  <si>
    <t>Cámara pegada al coche</t>
  </si>
  <si>
    <t>Más retraso, más suave</t>
  </si>
  <si>
    <t>Factor Amortiguacion</t>
  </si>
  <si>
    <t>0.2-1.5</t>
  </si>
  <si>
    <t>1 = sin rebote (amortiguación crítica), menor de 1 = rebota</t>
  </si>
  <si>
    <t>Sin rebote, más lenta</t>
  </si>
  <si>
    <t>Rebota más</t>
  </si>
  <si>
    <t>Dirección (drift)</t>
  </si>
  <si>
    <t>Seguir Trayectoria</t>
  </si>
  <si>
    <t>0-1</t>
  </si>
  <si>
    <t>0 = la cámara gira con el morro, 1 = sigue la dirección de la velocidad</t>
  </si>
  <si>
    <t>Derrape más visible de lado</t>
  </si>
  <si>
    <t>Cámara gira con el coche</t>
  </si>
  <si>
    <t>Velocidad Minima Trayectoria</t>
  </si>
  <si>
    <t>Por debajo de esta velocidad la cámara usa el morro del coche</t>
  </si>
  <si>
    <t>Usa el morro hasta más velocidad</t>
  </si>
  <si>
    <t>Sigue la trayectoria antes</t>
  </si>
  <si>
    <t>Suavizado Giro</t>
  </si>
  <si>
    <t>Lo rápido que la cámara gira hacia su dirección deseada</t>
  </si>
  <si>
    <t>Gira casi con el coche</t>
  </si>
  <si>
    <t>Gira con más retraso (el derrape se nota más)</t>
  </si>
  <si>
    <t>Velocidad</t>
  </si>
  <si>
    <t>Velocidad Referencia</t>
  </si>
  <si>
    <t>Velocidad a la que se llega al máximo de distancia, adelanto y FOV</t>
  </si>
  <si>
    <t>Tarda más en abrirse</t>
  </si>
  <si>
    <t>Se abre antes</t>
  </si>
  <si>
    <t>FOV</t>
  </si>
  <si>
    <t>Fov Base</t>
  </si>
  <si>
    <t>Campo de visión parado (bajo = imagen más plana, estilo móvil)</t>
  </si>
  <si>
    <t>Más gran angular</t>
  </si>
  <si>
    <t>Más plano</t>
  </si>
  <si>
    <t>Fov Maximo</t>
  </si>
  <si>
    <t>Campo de visión a tope de velocidad</t>
  </si>
  <si>
    <t>Más efecto de velocidad</t>
  </si>
  <si>
    <t>Fov Extra Turbo</t>
  </si>
  <si>
    <t>FOV extra mientras el turbo está activo</t>
  </si>
  <si>
    <t>Turbo se nota más</t>
  </si>
  <si>
    <t>Suavizado Fov</t>
  </si>
  <si>
    <t>Lo rápido que el FOV persigue su valor deseado</t>
  </si>
  <si>
    <t>Cambia más rápido</t>
  </si>
  <si>
    <t>MaterialChatarra (asset)</t>
  </si>
  <si>
    <t>Datos</t>
  </si>
  <si>
    <t>Nombre</t>
  </si>
  <si>
    <t>Metal / Cobre / Goma</t>
  </si>
  <si>
    <t>Nombre que se muestra en el inventario y la tienda. Si queda vacío usa el nombre del archivo</t>
  </si>
  <si>
    <t>Color</t>
  </si>
  <si>
    <t>gris / naranja / negro</t>
  </si>
  <si>
    <t>Color del cubo de la pieza y de la casilla del inventario</t>
  </si>
  <si>
    <t>Icono</t>
  </si>
  <si>
    <t>(opcional)</t>
  </si>
  <si>
    <t>Sprite que se dibuja en la casilla del inventario. Texture Type debe ser Sprite (2D and UI)</t>
  </si>
  <si>
    <t>Valor Base</t>
  </si>
  <si>
    <t>monedas</t>
  </si>
  <si>
    <t>Precio de referencia en la tienda (Metal 10, Cobre 25, Goma 5)</t>
  </si>
  <si>
    <t>Más dinero por pieza</t>
  </si>
  <si>
    <t>Espacio</t>
  </si>
  <si>
    <t>unidades de maletero</t>
  </si>
  <si>
    <t>Cuánto ocupa cada unidad en el maletero (Goma 2)</t>
  </si>
  <si>
    <t>Llena el maletero antes</t>
  </si>
  <si>
    <t>Cabe más</t>
  </si>
  <si>
    <t>Destruible</t>
  </si>
  <si>
    <t>Rotura</t>
  </si>
  <si>
    <t>Velocidad Minima</t>
  </si>
  <si>
    <t>Velocidad de impacto para romperlo (8 m/s ≈ 29 km/h)</t>
  </si>
  <si>
    <t>Hay que ir más rápido</t>
  </si>
  <si>
    <t>Se rompe con roces</t>
  </si>
  <si>
    <t>Fragmentos</t>
  </si>
  <si>
    <t>Prefab Fragmento</t>
  </si>
  <si>
    <t>Fragmento</t>
  </si>
  <si>
    <t>Cubo decorativo que sale al romperse (Rigidbody, capa Fragmentos)</t>
  </si>
  <si>
    <t>Cantidad Fragmentos</t>
  </si>
  <si>
    <t>Cuántos cubitos decorativos salen</t>
  </si>
  <si>
    <t>Más espectáculo, más coste</t>
  </si>
  <si>
    <t>Color Fragmentos</t>
  </si>
  <si>
    <t>gris</t>
  </si>
  <si>
    <t>Color de los cubitos decorativos</t>
  </si>
  <si>
    <t>Vida Fragmentos</t>
  </si>
  <si>
    <t>s</t>
  </si>
  <si>
    <t>Segundos hasta que desaparecen los fragmentos</t>
  </si>
  <si>
    <t>Más desorden</t>
  </si>
  <si>
    <t>Se limpian antes</t>
  </si>
  <si>
    <t>Fuerza Fragmentos</t>
  </si>
  <si>
    <t>Velocidad con la que salen disparados</t>
  </si>
  <si>
    <t>Salen más lejos</t>
  </si>
  <si>
    <t>Salen poco</t>
  </si>
  <si>
    <t>Botín</t>
  </si>
  <si>
    <t>Prefab Recolectable</t>
  </si>
  <si>
    <t>Pieza</t>
  </si>
  <si>
    <t>Prefab de la pieza recogible (debe tener el script Recolectable, capa Recolectable)</t>
  </si>
  <si>
    <t>Botin (lista)</t>
  </si>
  <si>
    <t>p. ej. Metal 1-3, Cobre 0-2</t>
  </si>
  <si>
    <t>Lista de qué suelta: Tipo (material), Mínimo y Máximo. Cantidad aleatoria entre ambos</t>
  </si>
  <si>
    <t>Más botín</t>
  </si>
  <si>
    <t>Recolectable</t>
  </si>
  <si>
    <t>Tipo</t>
  </si>
  <si>
    <t>(lo pone Destruible)</t>
  </si>
  <si>
    <t>Material de la pieza</t>
  </si>
  <si>
    <t>Cantidad</t>
  </si>
  <si>
    <t>Unidades que da la pieza al recogerla</t>
  </si>
  <si>
    <t>Más por pieza</t>
  </si>
  <si>
    <t>Retraso Recogida</t>
  </si>
  <si>
    <t>Segundos tras aparecer en los que no se puede recoger (evita sumar al chocar)</t>
  </si>
  <si>
    <t>Hay que volver a por ellas</t>
  </si>
  <si>
    <t>Se recogen casi al instante</t>
  </si>
  <si>
    <t>RecolectorCoche</t>
  </si>
  <si>
    <t>Zona de recogida</t>
  </si>
  <si>
    <t>Centro</t>
  </si>
  <si>
    <t>(0, -0.5, 0)</t>
  </si>
  <si>
    <t>Centro de la esfera de recogida, relativo a Patrol. Debe quedar a la altura del suelo</t>
  </si>
  <si>
    <t>Radio</t>
  </si>
  <si>
    <t>Radio de la esfera de recogida</t>
  </si>
  <si>
    <t>Recoge de más lejos</t>
  </si>
  <si>
    <t>Hay que pasar justo por encima</t>
  </si>
  <si>
    <t>Capa Recolectable</t>
  </si>
  <si>
    <t>Capa que busca la esfera. Solo ve esa capa</t>
  </si>
  <si>
    <t>InventarioCoche</t>
  </si>
  <si>
    <t>Maletero</t>
  </si>
  <si>
    <t>Capacidad</t>
  </si>
  <si>
    <t>Espacio total del maletero (la mejora Maletero del garaje la subirá)</t>
  </si>
  <si>
    <t>Cabe más botín</t>
  </si>
  <si>
    <t>Se llena antes</t>
  </si>
  <si>
    <t>InventarioUI</t>
  </si>
  <si>
    <t>Origen</t>
  </si>
  <si>
    <t>Inventario</t>
  </si>
  <si>
    <t>InventarioCoche que se muestra</t>
  </si>
  <si>
    <t>Posición y tamaño</t>
  </si>
  <si>
    <t>Margen</t>
  </si>
  <si>
    <t>(30, 30)</t>
  </si>
  <si>
    <t>px</t>
  </si>
  <si>
    <t>Distancia a la esquina superior izquierda</t>
  </si>
  <si>
    <t>Ancho Barra</t>
  </si>
  <si>
    <t>Ancho de la barra de capacidad y de la fila de casillas</t>
  </si>
  <si>
    <t>HUD más grande</t>
  </si>
  <si>
    <t>Más pequeño</t>
  </si>
  <si>
    <t>Alto Barra</t>
  </si>
  <si>
    <t>Alto de la barra de capacidad</t>
  </si>
  <si>
    <t>Tamano Casilla</t>
  </si>
  <si>
    <t>Lado de cada casilla de material</t>
  </si>
  <si>
    <t>Separacion</t>
  </si>
  <si>
    <t>Hueco entre casillas</t>
  </si>
  <si>
    <t>Colores</t>
  </si>
  <si>
    <t>Color Fondo</t>
  </si>
  <si>
    <t>negro 55 %</t>
  </si>
  <si>
    <t>Fondo de barra y casillas</t>
  </si>
  <si>
    <t>Color Barra</t>
  </si>
  <si>
    <t>verde</t>
  </si>
  <si>
    <t>Color del relleno de la barra de capacidad</t>
  </si>
  <si>
    <t>Color Barra Llena</t>
  </si>
  <si>
    <t>rojo</t>
  </si>
  <si>
    <t>Color de la barra cuando el maletero está lleno</t>
  </si>
  <si>
    <t>Texto</t>
  </si>
  <si>
    <t>Tamano Texto</t>
  </si>
  <si>
    <t>Tamaño base del texto del HUD</t>
  </si>
  <si>
    <t>Pulso al recoger</t>
  </si>
  <si>
    <t>Fuerza Pulso</t>
  </si>
  <si>
    <t>Cuánto crece la casilla al recoger (0.3 = 30 %)</t>
  </si>
  <si>
    <t>Pulso más marcado</t>
  </si>
  <si>
    <t>Más sutil</t>
  </si>
  <si>
    <t>Velocidad Pulso</t>
  </si>
  <si>
    <t>Lo rápido que la casilla vuelve a su tamaño</t>
  </si>
  <si>
    <t>Vuelve antes</t>
  </si>
  <si>
    <t>El pulso dura más</t>
  </si>
  <si>
    <t>GasolinaCoche</t>
  </si>
  <si>
    <t>Depósito</t>
  </si>
  <si>
    <t>Tamaño del depósito (la mejora de gasolina podrá subirlo). Para probar, pon 15</t>
  </si>
  <si>
    <t>Más autonomía</t>
  </si>
  <si>
    <t>Menos autonomía</t>
  </si>
  <si>
    <t>Umbral Reserva</t>
  </si>
  <si>
    <t>Por debajo de este nivel la barra parpadea (aviso de reserva)</t>
  </si>
  <si>
    <t>Avisa antes</t>
  </si>
  <si>
    <t>Avisa más tarde</t>
  </si>
  <si>
    <t>Consumo</t>
  </si>
  <si>
    <t>Consumo Ralenti</t>
  </si>
  <si>
    <t>Gasto constante, aunque estés parado</t>
  </si>
  <si>
    <t>Presión constante, no puedes quedarte quieto</t>
  </si>
  <si>
    <t>0 = parado no gasta</t>
  </si>
  <si>
    <t>Consumo Acelerando</t>
  </si>
  <si>
    <t>Gasto extra a acelerador a fondo (se escala con el acelerador)</t>
  </si>
  <si>
    <t>Conducir a fondo cuesta más</t>
  </si>
  <si>
    <t>Gasto extra mientras el turbo está activo (el castigo del GDD)</t>
  </si>
  <si>
    <t>El turbo cuesta más</t>
  </si>
  <si>
    <t>Colisiones</t>
  </si>
  <si>
    <t>Impacto Minimo</t>
  </si>
  <si>
    <t>Por debajo de esta velocidad de impacto el choque no cuesta gasolina</t>
  </si>
  <si>
    <t>Roces gratis</t>
  </si>
  <si>
    <t>Cualquier roce cuesta</t>
  </si>
  <si>
    <t>Perdida Por Impacto</t>
  </si>
  <si>
    <t>unidades por m/s</t>
  </si>
  <si>
    <t>Gasolina perdida por cada m/s de impacto por encima del mínimo</t>
  </si>
  <si>
    <t>Choques más caros</t>
  </si>
  <si>
    <t>Choques más baratos</t>
  </si>
  <si>
    <t>Factor Carroceria</t>
  </si>
  <si>
    <t>Multiplicador de la pérdida por choque. La mejora Carrocería lo bajará (0.5 = la mitad)</t>
  </si>
  <si>
    <t>GasolinaUI</t>
  </si>
  <si>
    <t>Gasolina</t>
  </si>
  <si>
    <t>GasolinaCoche que se muestra</t>
  </si>
  <si>
    <t>MotorCoche, para dibujar la barra de turbo</t>
  </si>
  <si>
    <t>Distancia a la esquina inferior izquierda</t>
  </si>
  <si>
    <t>Ancho</t>
  </si>
  <si>
    <t>Ancho de las barras</t>
  </si>
  <si>
    <t>Alto</t>
  </si>
  <si>
    <t>Alto de la barra de gasolina</t>
  </si>
  <si>
    <t>Alto Turbo</t>
  </si>
  <si>
    <t>Alto de la barra fina de turbo</t>
  </si>
  <si>
    <t>Tamaño del texto de la barra de gasolina</t>
  </si>
  <si>
    <t>Color Lleno / Medio / Vacio</t>
  </si>
  <si>
    <t>verde / amarillo / rojo</t>
  </si>
  <si>
    <t>La barra pasa de verde a amarillo y a rojo según el nivel</t>
  </si>
  <si>
    <t>Color Turbo</t>
  </si>
  <si>
    <t>azul</t>
  </si>
  <si>
    <t>Color de la barra de turbo</t>
  </si>
  <si>
    <t>Parpadeo</t>
  </si>
  <si>
    <t>Velocidad Parpadeo</t>
  </si>
  <si>
    <t>Velocidad del parpadeo en reserva</t>
  </si>
  <si>
    <t>Parpadea más rápido</t>
  </si>
  <si>
    <t>Más lento</t>
  </si>
  <si>
    <t>Rigidbody (Patrol)</t>
  </si>
  <si>
    <t>Unity</t>
  </si>
  <si>
    <t>Mass</t>
  </si>
  <si>
    <t>kg</t>
  </si>
  <si>
    <t>Peso del coche. Todo el ajuste de suspensión depende de esto</t>
  </si>
  <si>
    <t>Coche más pesado, necesita más rigidez</t>
  </si>
  <si>
    <t>Coche más ligero</t>
  </si>
  <si>
    <t>Interpolate</t>
  </si>
  <si>
    <t>Suaviza el movimiento visual entre pasos de física</t>
  </si>
  <si>
    <t>Collision Detection</t>
  </si>
  <si>
    <t>Continuous Dynamic</t>
  </si>
  <si>
    <t>Evita atravesar objetos a alta velocidad (riesgo técnico del TDD)</t>
  </si>
  <si>
    <t>Configuración Unity</t>
  </si>
  <si>
    <t>Capas</t>
  </si>
  <si>
    <t>Terreno: lo detecta el SphereCast de la suspensión. Ningún otro objeto del coche debe estar en ella</t>
  </si>
  <si>
    <t>Capa Fragmentos</t>
  </si>
  <si>
    <t>Cubitos decorativos. En la matriz de colisión, solo colisiona con Suelo</t>
  </si>
  <si>
    <t>Piezas recogibles. En la matriz de colisión, solo colisiona con Suelo</t>
  </si>
  <si>
    <t>Nota: los valores iniciales son los que traen los scripts por defecto. Tus valores reales pueden ser distintos (p. ej. Longitud Máxima 0.6 y Radio 0.3 en algún momento).</t>
  </si>
  <si>
    <t>Relaciones útiles (se recalculan con 'Mi valor' o, si está vacío, con el valor inicial)</t>
  </si>
  <si>
    <t>Datos de entrada (leídos de la hoja Variables)</t>
  </si>
  <si>
    <t>Dato</t>
  </si>
  <si>
    <t>Valor</t>
  </si>
  <si>
    <t>Masa del coche</t>
  </si>
  <si>
    <t>Hoja Variables: Rigidbody (Patrol) › Mass</t>
  </si>
  <si>
    <t>Rigidez del resorte</t>
  </si>
  <si>
    <t>Hoja Variables: SuspensionCoche › Rigidez</t>
  </si>
  <si>
    <t>Longitud máxima del resorte</t>
  </si>
  <si>
    <t>Hoja Variables: SuspensionCoche › Longitud Maxima</t>
  </si>
  <si>
    <t>Radio de la rueda</t>
  </si>
  <si>
    <t>Hoja Variables: SuspensionCoche › Radio Rueda</t>
  </si>
  <si>
    <t>Velocidad máxima</t>
  </si>
  <si>
    <t>Hoja Variables: MotorCoche › Velocidad Maxima</t>
  </si>
  <si>
    <t>Capacidad del turbo</t>
  </si>
  <si>
    <t>Hoja Variables: MotorCoche › Capacidad Turbo</t>
  </si>
  <si>
    <t>Consumo del turbo (depósito)</t>
  </si>
  <si>
    <t>Hoja Variables: MotorCoche › Consumo Turbo</t>
  </si>
  <si>
    <t>Recarga del turbo</t>
  </si>
  <si>
    <t>Hoja Variables: MotorCoche › Recarga Turbo</t>
  </si>
  <si>
    <t>Capacidad de gasolina</t>
  </si>
  <si>
    <t>Hoja Variables: GasolinaCoche › Capacidad</t>
  </si>
  <si>
    <t>Consumo ralentí</t>
  </si>
  <si>
    <t>Hoja Variables: GasolinaCoche › Consumo Ralenti</t>
  </si>
  <si>
    <t>Consumo acelerando</t>
  </si>
  <si>
    <t>Hoja Variables: GasolinaCoche › Consumo Acelerando</t>
  </si>
  <si>
    <t>Consumo turbo (gasolina)</t>
  </si>
  <si>
    <t>Hoja Variables: GasolinaCoche › Consumo Turbo</t>
  </si>
  <si>
    <t>Impacto mínimo que cuesta gasolina</t>
  </si>
  <si>
    <t>Hoja Variables: GasolinaCoche › Impacto Minimo</t>
  </si>
  <si>
    <t>Pérdida por impacto</t>
  </si>
  <si>
    <t>Hoja Variables: GasolinaCoche › Perdida Por Impacto</t>
  </si>
  <si>
    <t>Factor carrocería</t>
  </si>
  <si>
    <t>Hoja Variables: GasolinaCoche › Factor Carroceria</t>
  </si>
  <si>
    <t>Velocidad mínima de rotura (Destruible)</t>
  </si>
  <si>
    <t>Hoja Variables: Destruible › Velocidad Minima</t>
  </si>
  <si>
    <t>Capacidad del maletero</t>
  </si>
  <si>
    <t>Hoja Variables: InventarioCoche › Capacidad</t>
  </si>
  <si>
    <t>Distancia de cámara (parado)</t>
  </si>
  <si>
    <t>Hoja Variables: CamaraSprung › Distancia Min</t>
  </si>
  <si>
    <t>Ángulo de elevación de la cámara</t>
  </si>
  <si>
    <t>Hoja Variables: CamaraSprung › Angulo Elevacion</t>
  </si>
  <si>
    <t>Adelanto de cámara (parado)</t>
  </si>
  <si>
    <t>Hoja Variables: CamaraSprung › Adelanto Min</t>
  </si>
  <si>
    <t>Gravedad</t>
  </si>
  <si>
    <t>m/s²</t>
  </si>
  <si>
    <t>Constante física (valor estándar)</t>
  </si>
  <si>
    <t>Número de ruedas</t>
  </si>
  <si>
    <t>ud</t>
  </si>
  <si>
    <t>Coche de 4 ruedas (supuesto: reparto de peso uniforme)</t>
  </si>
  <si>
    <t>Velocidad de impacto a probar</t>
  </si>
  <si>
    <t>EDITABLE: ejemplo de choque (12 m/s ≈ 43 km/h) para calcular su coste en gasolina</t>
  </si>
  <si>
    <t>Resultado</t>
  </si>
  <si>
    <t>Cómo se calcula</t>
  </si>
  <si>
    <t>Peso por rueda</t>
  </si>
  <si>
    <t>masa × gravedad / nº de ruedas</t>
  </si>
  <si>
    <t>Compresión del resorte en reposo</t>
  </si>
  <si>
    <t>peso por rueda / rigidez</t>
  </si>
  <si>
    <t>Alcance máximo del SphereCast</t>
  </si>
  <si>
    <t>radio + longitud máxima (el anclaje debe estar por debajo de esto para tocar suelo)</t>
  </si>
  <si>
    <t>Altura del anclaje en reposo</t>
  </si>
  <si>
    <t>radio + longitud máxima − compresión en reposo</t>
  </si>
  <si>
    <t>Compresión en reposo (% del recorrido)</t>
  </si>
  <si>
    <t>%</t>
  </si>
  <si>
    <t>compresión / longitud máxima</t>
  </si>
  <si>
    <t>Motor y turbo</t>
  </si>
  <si>
    <t>km/h</t>
  </si>
  <si>
    <t>m/s × 3.6</t>
  </si>
  <si>
    <t>Duración del depósito de turbo</t>
  </si>
  <si>
    <t>capacidad / consumo</t>
  </si>
  <si>
    <t>Recarga completa del depósito de turbo</t>
  </si>
  <si>
    <t>capacidad / recarga</t>
  </si>
  <si>
    <t>Gasolina (¿hasta cuándo puedes explorar?)</t>
  </si>
  <si>
    <t>Autonomía solo en ralentí (parado)</t>
  </si>
  <si>
    <t>capacidad / consumo en ralentí</t>
  </si>
  <si>
    <t>Autonomía a fondo (ralentí + acelerando)</t>
  </si>
  <si>
    <t>capacidad / (ralentí + acelerando)</t>
  </si>
  <si>
    <t>Autonomía a fondo (en minutos)</t>
  </si>
  <si>
    <t>min</t>
  </si>
  <si>
    <t>segundos / 60</t>
  </si>
  <si>
    <t>Autonomía a fondo con turbo siempre activo</t>
  </si>
  <si>
    <t>capacidad / (ralentí + acelerando + turbo). Solo teórico: el depósito de turbo se acaba antes</t>
  </si>
  <si>
    <t>Distancia recorrida con el depósito a fondo</t>
  </si>
  <si>
    <t>km</t>
  </si>
  <si>
    <t>autonomía a fondo × velocidad máxima (cota superior: no se va siempre a tope)</t>
  </si>
  <si>
    <t>Gasolina que cuesta el choque de prueba</t>
  </si>
  <si>
    <t>(velocidad − impacto mínimo) × pérdida por impacto × factor carrocería</t>
  </si>
  <si>
    <t>…como % del depósito</t>
  </si>
  <si>
    <t>coste del choque / capacidad</t>
  </si>
  <si>
    <t>Romper y recoger</t>
  </si>
  <si>
    <t>Velocidad mínima de rotura</t>
  </si>
  <si>
    <t>Piezas de 1 unidad que caben en el maletero</t>
  </si>
  <si>
    <t>capacidad (cada unidad de Metal o Cobre ocupa 1; la Goma ocupa 2)</t>
  </si>
  <si>
    <t>Cámara</t>
  </si>
  <si>
    <t>Altura de la cámara sobre el coche (parado)</t>
  </si>
  <si>
    <t>distancia × sen(ángulo)</t>
  </si>
  <si>
    <t>Distancia horizontal detrás del centro del encuadre</t>
  </si>
  <si>
    <t>distancia × cos(ángulo)</t>
  </si>
  <si>
    <t>Distancia horizontal detrás del coche</t>
  </si>
  <si>
    <t>horizontal − adelanto (si es negativa, la cámara queda por delante del coche)</t>
  </si>
  <si>
    <t>Reglas rápidas</t>
  </si>
  <si>
    <t>• Rigidez y Amortiguación van juntas: si cambias una, revisa la otra.</t>
  </si>
  <si>
    <t>• Radio Rueda debe ser siempre el del neumático visual. Si cambias de modelo, mídelo de nuevo.</t>
  </si>
  <si>
    <t>• Si la compresión en reposo supera ~50 % del recorrido, el cuerpo tocará fondo con facilidad: sube Rigidez o Longitud Máxima.</t>
  </si>
  <si>
    <t>• Coeficiente Agarre y Rigidez Lateral controlan el derrape juntos: el primero marca dónde se pierde el agarre, el segundo lo fuerte que se corrige antes de perderlo.</t>
  </si>
  <si>
    <t>• Para probar la gasolina rápido, pon Capacidad en 15 y vuelve a 100 al terminar.</t>
  </si>
  <si>
    <t>• Los destruibles deben medir ~1.5 m de alto: el coche no tiene colliders en las ruedas y la carrocería está elevada.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</si>
</sst>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#"/>
    <numFmt numFmtId="165" formatCode="#,##0.##"/>
    <numFmt numFmtId="166" formatCode="0.0"/>
    <numFmt numFmtId="167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2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EEAF1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DEEAF1"/>
      </patternFill>
    </fill>
    <fill>
      <patternFill patternType="solid">
        <fgColor rgb="FFE4DFEC"/>
        <bgColor rgb="FFDEEAF1"/>
      </patternFill>
    </fill>
    <fill>
      <patternFill patternType="solid">
        <fgColor rgb="FFDEEAF1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horizontal="center" vertical="top" wrapText="1"/>
    </xf>
    <xf numFmtId="164" fontId="6" fillId="4" borderId="1" xfId="0" applyNumberFormat="1" applyFont="1" applyFill="1" applyBorder="1" applyAlignment="1">
      <alignment horizontal="center" vertical="top"/>
    </xf>
    <xf numFmtId="165" fontId="6" fillId="0" borderId="1" xfId="0" applyNumberFormat="1" applyFont="1" applyBorder="1" applyAlignment="1">
      <alignment horizontal="center" vertical="top" wrapText="1"/>
    </xf>
    <xf numFmtId="165" fontId="6" fillId="4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2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EDEDED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abSelected="1" zoomScaleNormal="100" workbookViewId="0">
      <pane xSplit="3" ySplit="4" topLeftCell="D31" activePane="bottomRight" state="frozen"/>
      <selection pane="topRight" activeCell="D1" sqref="D1"/>
      <selection pane="bottomLeft" activeCell="A5" sqref="A5"/>
      <selection pane="bottomRight" activeCell="F5" sqref="F5:F46"/>
    </sheetView>
  </sheetViews>
  <sheetFormatPr baseColWidth="10" defaultColWidth="8.7109375" defaultRowHeight="15" x14ac:dyDescent="0.25"/>
  <cols>
    <col min="1" max="1" width="24" customWidth="1"/>
    <col min="2" max="2" width="20" customWidth="1"/>
    <col min="3" max="3" width="28" customWidth="1"/>
    <col min="4" max="4" width="22" customWidth="1"/>
    <col min="5" max="5" width="20" customWidth="1"/>
    <col min="6" max="6" width="14" customWidth="1"/>
    <col min="7" max="7" width="60" customWidth="1"/>
    <col min="8" max="9" width="38" customWidth="1"/>
  </cols>
  <sheetData>
    <row r="1" spans="1:9" ht="18" x14ac:dyDescent="0.25">
      <c r="A1" s="2" t="s">
        <v>0</v>
      </c>
    </row>
    <row r="2" spans="1:9" ht="27.7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5" t="s">
        <v>13</v>
      </c>
      <c r="D5" s="6" t="s">
        <v>14</v>
      </c>
      <c r="E5" s="7"/>
      <c r="F5" s="8"/>
      <c r="G5" s="9" t="s">
        <v>15</v>
      </c>
      <c r="H5" s="9"/>
      <c r="I5" s="9"/>
    </row>
    <row r="6" spans="1:9" x14ac:dyDescent="0.25">
      <c r="A6" s="4" t="s">
        <v>11</v>
      </c>
      <c r="B6" s="4" t="s">
        <v>12</v>
      </c>
      <c r="C6" s="5" t="s">
        <v>16</v>
      </c>
      <c r="D6" s="6" t="s">
        <v>17</v>
      </c>
      <c r="E6" s="7"/>
      <c r="F6" s="8"/>
      <c r="G6" s="9" t="s">
        <v>18</v>
      </c>
      <c r="H6" s="9"/>
      <c r="I6" s="9"/>
    </row>
    <row r="7" spans="1:9" x14ac:dyDescent="0.25">
      <c r="A7" s="4" t="s">
        <v>11</v>
      </c>
      <c r="B7" s="4" t="s">
        <v>12</v>
      </c>
      <c r="C7" s="5" t="s">
        <v>19</v>
      </c>
      <c r="D7" s="6" t="s">
        <v>19</v>
      </c>
      <c r="E7" s="7"/>
      <c r="F7" s="8"/>
      <c r="G7" s="9" t="s">
        <v>20</v>
      </c>
      <c r="H7" s="9"/>
      <c r="I7" s="9"/>
    </row>
    <row r="8" spans="1:9" x14ac:dyDescent="0.25">
      <c r="A8" s="4" t="s">
        <v>11</v>
      </c>
      <c r="B8" s="4" t="s">
        <v>12</v>
      </c>
      <c r="C8" s="5" t="s">
        <v>21</v>
      </c>
      <c r="D8" s="6" t="s">
        <v>22</v>
      </c>
      <c r="E8" s="7"/>
      <c r="F8" s="8"/>
      <c r="G8" s="9" t="s">
        <v>23</v>
      </c>
      <c r="H8" s="9"/>
      <c r="I8" s="9"/>
    </row>
    <row r="9" spans="1:9" x14ac:dyDescent="0.25">
      <c r="A9" s="4" t="s">
        <v>11</v>
      </c>
      <c r="B9" s="4" t="s">
        <v>12</v>
      </c>
      <c r="C9" s="5" t="s">
        <v>24</v>
      </c>
      <c r="D9" s="6" t="s">
        <v>25</v>
      </c>
      <c r="E9" s="7"/>
      <c r="F9" s="8"/>
      <c r="G9" s="9" t="s">
        <v>26</v>
      </c>
      <c r="H9" s="9"/>
      <c r="I9" s="9"/>
    </row>
    <row r="10" spans="1:9" x14ac:dyDescent="0.25">
      <c r="A10" s="4" t="s">
        <v>11</v>
      </c>
      <c r="B10" s="4" t="s">
        <v>27</v>
      </c>
      <c r="C10" s="5" t="s">
        <v>28</v>
      </c>
      <c r="D10" s="6" t="s">
        <v>29</v>
      </c>
      <c r="E10" s="7"/>
      <c r="F10" s="8"/>
      <c r="G10" s="9" t="s">
        <v>30</v>
      </c>
      <c r="H10" s="9"/>
      <c r="I10" s="9"/>
    </row>
    <row r="11" spans="1:9" x14ac:dyDescent="0.25">
      <c r="A11" s="4" t="s">
        <v>11</v>
      </c>
      <c r="B11" s="4" t="s">
        <v>27</v>
      </c>
      <c r="C11" s="5" t="s">
        <v>31</v>
      </c>
      <c r="D11" s="10">
        <v>0.9</v>
      </c>
      <c r="E11" s="7" t="s">
        <v>32</v>
      </c>
      <c r="F11" s="11"/>
      <c r="G11" s="9" t="s">
        <v>33</v>
      </c>
      <c r="H11" s="9" t="s">
        <v>34</v>
      </c>
      <c r="I11" s="9" t="s">
        <v>35</v>
      </c>
    </row>
    <row r="12" spans="1:9" ht="25.5" x14ac:dyDescent="0.25">
      <c r="A12" s="4" t="s">
        <v>11</v>
      </c>
      <c r="B12" s="4" t="s">
        <v>27</v>
      </c>
      <c r="C12" s="5" t="s">
        <v>36</v>
      </c>
      <c r="D12" s="10">
        <v>0.5</v>
      </c>
      <c r="E12" s="7" t="s">
        <v>32</v>
      </c>
      <c r="F12" s="11"/>
      <c r="G12" s="9" t="s">
        <v>37</v>
      </c>
      <c r="H12" s="9" t="s">
        <v>38</v>
      </c>
      <c r="I12" s="9"/>
    </row>
    <row r="13" spans="1:9" x14ac:dyDescent="0.25">
      <c r="A13" s="4" t="s">
        <v>11</v>
      </c>
      <c r="B13" s="4" t="s">
        <v>27</v>
      </c>
      <c r="C13" s="5" t="s">
        <v>39</v>
      </c>
      <c r="D13" s="12">
        <v>25000</v>
      </c>
      <c r="E13" s="7" t="s">
        <v>40</v>
      </c>
      <c r="F13" s="13"/>
      <c r="G13" s="9" t="s">
        <v>41</v>
      </c>
      <c r="H13" s="9" t="s">
        <v>42</v>
      </c>
      <c r="I13" s="9" t="s">
        <v>43</v>
      </c>
    </row>
    <row r="14" spans="1:9" x14ac:dyDescent="0.25">
      <c r="A14" s="4" t="s">
        <v>11</v>
      </c>
      <c r="B14" s="4" t="s">
        <v>27</v>
      </c>
      <c r="C14" s="5" t="s">
        <v>44</v>
      </c>
      <c r="D14" s="12">
        <v>2500</v>
      </c>
      <c r="E14" s="7" t="s">
        <v>45</v>
      </c>
      <c r="F14" s="13"/>
      <c r="G14" s="9" t="s">
        <v>46</v>
      </c>
      <c r="H14" s="9" t="s">
        <v>47</v>
      </c>
      <c r="I14" s="9" t="s">
        <v>48</v>
      </c>
    </row>
    <row r="15" spans="1:9" x14ac:dyDescent="0.25">
      <c r="A15" s="4" t="s">
        <v>11</v>
      </c>
      <c r="B15" s="4" t="s">
        <v>49</v>
      </c>
      <c r="C15" s="5" t="s">
        <v>50</v>
      </c>
      <c r="D15" s="10">
        <v>0.8</v>
      </c>
      <c r="E15" s="7" t="s">
        <v>51</v>
      </c>
      <c r="F15" s="11"/>
      <c r="G15" s="9" t="s">
        <v>52</v>
      </c>
      <c r="H15" s="9" t="s">
        <v>53</v>
      </c>
      <c r="I15" s="9" t="s">
        <v>54</v>
      </c>
    </row>
    <row r="16" spans="1:9" x14ac:dyDescent="0.25">
      <c r="A16" s="4" t="s">
        <v>11</v>
      </c>
      <c r="B16" s="4" t="s">
        <v>49</v>
      </c>
      <c r="C16" s="5" t="s">
        <v>55</v>
      </c>
      <c r="D16" s="12">
        <v>150000</v>
      </c>
      <c r="E16" s="7" t="s">
        <v>40</v>
      </c>
      <c r="F16" s="13"/>
      <c r="G16" s="9" t="s">
        <v>56</v>
      </c>
      <c r="H16" s="9" t="s">
        <v>57</v>
      </c>
      <c r="I16" s="9" t="s">
        <v>58</v>
      </c>
    </row>
    <row r="17" spans="1:9" x14ac:dyDescent="0.25">
      <c r="A17" s="4" t="s">
        <v>11</v>
      </c>
      <c r="B17" s="4" t="s">
        <v>59</v>
      </c>
      <c r="C17" s="5" t="s">
        <v>60</v>
      </c>
      <c r="D17" s="6" t="s">
        <v>61</v>
      </c>
      <c r="E17" s="7"/>
      <c r="F17" s="8"/>
      <c r="G17" s="9" t="s">
        <v>62</v>
      </c>
      <c r="H17" s="9"/>
      <c r="I17" s="9"/>
    </row>
    <row r="18" spans="1:9" x14ac:dyDescent="0.25">
      <c r="A18" s="14" t="s">
        <v>63</v>
      </c>
      <c r="B18" s="14" t="s">
        <v>64</v>
      </c>
      <c r="C18" s="15" t="s">
        <v>65</v>
      </c>
      <c r="D18" s="10">
        <v>3</v>
      </c>
      <c r="E18" s="7" t="s">
        <v>66</v>
      </c>
      <c r="F18" s="11"/>
      <c r="G18" s="9" t="s">
        <v>67</v>
      </c>
      <c r="H18" s="9" t="s">
        <v>68</v>
      </c>
      <c r="I18" s="9" t="s">
        <v>69</v>
      </c>
    </row>
    <row r="19" spans="1:9" x14ac:dyDescent="0.25">
      <c r="A19" s="14" t="s">
        <v>63</v>
      </c>
      <c r="B19" s="14" t="s">
        <v>64</v>
      </c>
      <c r="C19" s="15" t="s">
        <v>70</v>
      </c>
      <c r="D19" s="10">
        <v>4</v>
      </c>
      <c r="E19" s="7" t="s">
        <v>66</v>
      </c>
      <c r="F19" s="11"/>
      <c r="G19" s="9" t="s">
        <v>71</v>
      </c>
      <c r="H19" s="9" t="s">
        <v>72</v>
      </c>
      <c r="I19" s="9" t="s">
        <v>73</v>
      </c>
    </row>
    <row r="20" spans="1:9" x14ac:dyDescent="0.25">
      <c r="A20" s="16" t="s">
        <v>74</v>
      </c>
      <c r="B20" s="16" t="s">
        <v>75</v>
      </c>
      <c r="C20" s="17" t="s">
        <v>76</v>
      </c>
      <c r="D20" s="12">
        <v>9000</v>
      </c>
      <c r="E20" s="7" t="s">
        <v>77</v>
      </c>
      <c r="F20" s="13">
        <v>7000</v>
      </c>
      <c r="G20" s="9" t="s">
        <v>78</v>
      </c>
      <c r="H20" s="9" t="s">
        <v>79</v>
      </c>
      <c r="I20" s="9" t="s">
        <v>80</v>
      </c>
    </row>
    <row r="21" spans="1:9" x14ac:dyDescent="0.25">
      <c r="A21" s="16" t="s">
        <v>74</v>
      </c>
      <c r="B21" s="16" t="s">
        <v>75</v>
      </c>
      <c r="C21" s="17" t="s">
        <v>81</v>
      </c>
      <c r="D21" s="12">
        <v>8000</v>
      </c>
      <c r="E21" s="7" t="s">
        <v>77</v>
      </c>
      <c r="F21" s="13">
        <v>6000</v>
      </c>
      <c r="G21" s="9" t="s">
        <v>82</v>
      </c>
      <c r="H21" s="9" t="s">
        <v>83</v>
      </c>
      <c r="I21" s="9" t="s">
        <v>84</v>
      </c>
    </row>
    <row r="22" spans="1:9" x14ac:dyDescent="0.25">
      <c r="A22" s="16" t="s">
        <v>74</v>
      </c>
      <c r="B22" s="16" t="s">
        <v>75</v>
      </c>
      <c r="C22" s="17" t="s">
        <v>85</v>
      </c>
      <c r="D22" s="10">
        <v>25</v>
      </c>
      <c r="E22" s="7" t="s">
        <v>86</v>
      </c>
      <c r="F22" s="11">
        <v>30</v>
      </c>
      <c r="G22" s="9" t="s">
        <v>87</v>
      </c>
      <c r="H22" s="9" t="s">
        <v>88</v>
      </c>
      <c r="I22" s="9" t="s">
        <v>89</v>
      </c>
    </row>
    <row r="23" spans="1:9" x14ac:dyDescent="0.25">
      <c r="A23" s="16" t="s">
        <v>74</v>
      </c>
      <c r="B23" s="16" t="s">
        <v>75</v>
      </c>
      <c r="C23" s="17" t="s">
        <v>90</v>
      </c>
      <c r="D23" s="12">
        <v>100</v>
      </c>
      <c r="E23" s="7" t="s">
        <v>91</v>
      </c>
      <c r="F23" s="13"/>
      <c r="G23" s="9" t="s">
        <v>92</v>
      </c>
      <c r="H23" s="9" t="s">
        <v>93</v>
      </c>
      <c r="I23" s="9" t="s">
        <v>94</v>
      </c>
    </row>
    <row r="24" spans="1:9" x14ac:dyDescent="0.25">
      <c r="A24" s="16" t="s">
        <v>74</v>
      </c>
      <c r="B24" s="16" t="s">
        <v>75</v>
      </c>
      <c r="C24" s="17" t="s">
        <v>95</v>
      </c>
      <c r="D24" s="12">
        <v>1500</v>
      </c>
      <c r="E24" s="7" t="s">
        <v>91</v>
      </c>
      <c r="F24" s="13"/>
      <c r="G24" s="9" t="s">
        <v>96</v>
      </c>
      <c r="H24" s="9" t="s">
        <v>97</v>
      </c>
      <c r="I24" s="9" t="s">
        <v>98</v>
      </c>
    </row>
    <row r="25" spans="1:9" x14ac:dyDescent="0.25">
      <c r="A25" s="16" t="s">
        <v>74</v>
      </c>
      <c r="B25" s="16" t="s">
        <v>99</v>
      </c>
      <c r="C25" s="17" t="s">
        <v>100</v>
      </c>
      <c r="D25" s="10">
        <v>30</v>
      </c>
      <c r="E25" s="7" t="s">
        <v>101</v>
      </c>
      <c r="F25" s="11">
        <v>20</v>
      </c>
      <c r="G25" s="9" t="s">
        <v>102</v>
      </c>
      <c r="H25" s="9" t="s">
        <v>103</v>
      </c>
      <c r="I25" s="9" t="s">
        <v>104</v>
      </c>
    </row>
    <row r="26" spans="1:9" x14ac:dyDescent="0.25">
      <c r="A26" s="16" t="s">
        <v>74</v>
      </c>
      <c r="B26" s="16" t="s">
        <v>99</v>
      </c>
      <c r="C26" s="17" t="s">
        <v>105</v>
      </c>
      <c r="D26" s="10">
        <v>0.35</v>
      </c>
      <c r="E26" s="7" t="s">
        <v>106</v>
      </c>
      <c r="F26" s="11"/>
      <c r="G26" s="9" t="s">
        <v>107</v>
      </c>
      <c r="H26" s="9" t="s">
        <v>108</v>
      </c>
      <c r="I26" s="9" t="s">
        <v>109</v>
      </c>
    </row>
    <row r="27" spans="1:9" x14ac:dyDescent="0.25">
      <c r="A27" s="16" t="s">
        <v>74</v>
      </c>
      <c r="B27" s="16" t="s">
        <v>110</v>
      </c>
      <c r="C27" s="17" t="s">
        <v>111</v>
      </c>
      <c r="D27" s="10">
        <v>1.8</v>
      </c>
      <c r="E27" s="7" t="s">
        <v>112</v>
      </c>
      <c r="F27" s="11"/>
      <c r="G27" s="9" t="s">
        <v>113</v>
      </c>
      <c r="H27" s="9" t="s">
        <v>114</v>
      </c>
      <c r="I27" s="9" t="s">
        <v>115</v>
      </c>
    </row>
    <row r="28" spans="1:9" x14ac:dyDescent="0.25">
      <c r="A28" s="16" t="s">
        <v>74</v>
      </c>
      <c r="B28" s="16" t="s">
        <v>110</v>
      </c>
      <c r="C28" s="17" t="s">
        <v>116</v>
      </c>
      <c r="D28" s="10">
        <v>32</v>
      </c>
      <c r="E28" s="7" t="s">
        <v>86</v>
      </c>
      <c r="F28" s="11"/>
      <c r="G28" s="9" t="s">
        <v>117</v>
      </c>
      <c r="H28" s="9" t="s">
        <v>118</v>
      </c>
      <c r="I28" s="9" t="s">
        <v>119</v>
      </c>
    </row>
    <row r="29" spans="1:9" x14ac:dyDescent="0.25">
      <c r="A29" s="16" t="s">
        <v>74</v>
      </c>
      <c r="B29" s="16" t="s">
        <v>110</v>
      </c>
      <c r="C29" s="17" t="s">
        <v>120</v>
      </c>
      <c r="D29" s="12">
        <v>100</v>
      </c>
      <c r="E29" s="7" t="s">
        <v>121</v>
      </c>
      <c r="F29" s="13"/>
      <c r="G29" s="9" t="s">
        <v>122</v>
      </c>
      <c r="H29" s="9" t="s">
        <v>123</v>
      </c>
      <c r="I29" s="9" t="s">
        <v>124</v>
      </c>
    </row>
    <row r="30" spans="1:9" x14ac:dyDescent="0.25">
      <c r="A30" s="16" t="s">
        <v>74</v>
      </c>
      <c r="B30" s="16" t="s">
        <v>110</v>
      </c>
      <c r="C30" s="17" t="s">
        <v>125</v>
      </c>
      <c r="D30" s="10">
        <v>25</v>
      </c>
      <c r="E30" s="7" t="s">
        <v>66</v>
      </c>
      <c r="F30" s="11"/>
      <c r="G30" s="9" t="s">
        <v>126</v>
      </c>
      <c r="H30" s="9" t="s">
        <v>124</v>
      </c>
      <c r="I30" s="9" t="s">
        <v>123</v>
      </c>
    </row>
    <row r="31" spans="1:9" x14ac:dyDescent="0.25">
      <c r="A31" s="16" t="s">
        <v>74</v>
      </c>
      <c r="B31" s="16" t="s">
        <v>110</v>
      </c>
      <c r="C31" s="17" t="s">
        <v>127</v>
      </c>
      <c r="D31" s="10">
        <v>10</v>
      </c>
      <c r="E31" s="7" t="s">
        <v>66</v>
      </c>
      <c r="F31" s="11"/>
      <c r="G31" s="9" t="s">
        <v>128</v>
      </c>
      <c r="H31" s="9" t="s">
        <v>129</v>
      </c>
      <c r="I31" s="9" t="s">
        <v>130</v>
      </c>
    </row>
    <row r="32" spans="1:9" ht="25.5" x14ac:dyDescent="0.25">
      <c r="A32" s="18" t="s">
        <v>131</v>
      </c>
      <c r="B32" s="18" t="s">
        <v>132</v>
      </c>
      <c r="C32" s="19" t="s">
        <v>133</v>
      </c>
      <c r="D32" s="12">
        <v>4000</v>
      </c>
      <c r="E32" s="7" t="s">
        <v>91</v>
      </c>
      <c r="F32" s="13">
        <v>6000</v>
      </c>
      <c r="G32" s="9" t="s">
        <v>134</v>
      </c>
      <c r="H32" s="9" t="s">
        <v>135</v>
      </c>
      <c r="I32" s="9" t="s">
        <v>136</v>
      </c>
    </row>
    <row r="33" spans="1:9" ht="25.5" x14ac:dyDescent="0.25">
      <c r="A33" s="18" t="s">
        <v>131</v>
      </c>
      <c r="B33" s="18" t="s">
        <v>132</v>
      </c>
      <c r="C33" s="19" t="s">
        <v>137</v>
      </c>
      <c r="D33" s="10">
        <v>1</v>
      </c>
      <c r="E33" s="7"/>
      <c r="F33" s="11">
        <v>2</v>
      </c>
      <c r="G33" s="9" t="s">
        <v>138</v>
      </c>
      <c r="H33" s="9" t="s">
        <v>139</v>
      </c>
      <c r="I33" s="9" t="s">
        <v>140</v>
      </c>
    </row>
    <row r="34" spans="1:9" x14ac:dyDescent="0.25">
      <c r="A34" s="18" t="s">
        <v>131</v>
      </c>
      <c r="B34" s="18" t="s">
        <v>141</v>
      </c>
      <c r="C34" s="19" t="s">
        <v>142</v>
      </c>
      <c r="D34" s="10">
        <v>0.35</v>
      </c>
      <c r="E34" s="7" t="s">
        <v>143</v>
      </c>
      <c r="F34" s="11"/>
      <c r="G34" s="9" t="s">
        <v>144</v>
      </c>
      <c r="H34" s="9" t="s">
        <v>145</v>
      </c>
      <c r="I34" s="9" t="s">
        <v>146</v>
      </c>
    </row>
    <row r="35" spans="1:9" x14ac:dyDescent="0.25">
      <c r="A35" s="18" t="s">
        <v>131</v>
      </c>
      <c r="B35" s="18" t="s">
        <v>141</v>
      </c>
      <c r="C35" s="19" t="s">
        <v>147</v>
      </c>
      <c r="D35" s="12">
        <v>3000</v>
      </c>
      <c r="E35" s="7" t="s">
        <v>91</v>
      </c>
      <c r="F35" s="13"/>
      <c r="G35" s="9" t="s">
        <v>148</v>
      </c>
      <c r="H35" s="9" t="s">
        <v>149</v>
      </c>
      <c r="I35" s="9" t="s">
        <v>150</v>
      </c>
    </row>
    <row r="36" spans="1:9" x14ac:dyDescent="0.25">
      <c r="A36" s="20" t="s">
        <v>151</v>
      </c>
      <c r="B36" s="20" t="s">
        <v>152</v>
      </c>
      <c r="C36" s="21" t="s">
        <v>153</v>
      </c>
      <c r="D36" s="6" t="s">
        <v>154</v>
      </c>
      <c r="E36" s="7" t="s">
        <v>155</v>
      </c>
      <c r="F36" s="8"/>
      <c r="G36" s="9" t="s">
        <v>156</v>
      </c>
      <c r="H36" s="9" t="s">
        <v>157</v>
      </c>
      <c r="I36" s="9" t="s">
        <v>158</v>
      </c>
    </row>
    <row r="37" spans="1:9" x14ac:dyDescent="0.25">
      <c r="A37" s="20" t="s">
        <v>151</v>
      </c>
      <c r="B37" s="20" t="s">
        <v>159</v>
      </c>
      <c r="C37" s="21" t="s">
        <v>160</v>
      </c>
      <c r="D37" s="10">
        <v>1.5</v>
      </c>
      <c r="E37" s="7"/>
      <c r="F37" s="11">
        <v>3</v>
      </c>
      <c r="G37" s="9" t="s">
        <v>161</v>
      </c>
      <c r="H37" s="9" t="s">
        <v>162</v>
      </c>
      <c r="I37" s="9" t="s">
        <v>163</v>
      </c>
    </row>
    <row r="38" spans="1:9" x14ac:dyDescent="0.25">
      <c r="A38" s="20" t="s">
        <v>151</v>
      </c>
      <c r="B38" s="20" t="s">
        <v>159</v>
      </c>
      <c r="C38" s="21" t="s">
        <v>164</v>
      </c>
      <c r="D38" s="10">
        <v>4</v>
      </c>
      <c r="E38" s="7"/>
      <c r="F38" s="11"/>
      <c r="G38" s="9" t="s">
        <v>165</v>
      </c>
      <c r="H38" s="9" t="s">
        <v>166</v>
      </c>
      <c r="I38" s="9" t="s">
        <v>167</v>
      </c>
    </row>
    <row r="39" spans="1:9" x14ac:dyDescent="0.25">
      <c r="A39" s="20" t="s">
        <v>151</v>
      </c>
      <c r="B39" s="20" t="s">
        <v>159</v>
      </c>
      <c r="C39" s="21" t="s">
        <v>168</v>
      </c>
      <c r="D39" s="10">
        <v>4</v>
      </c>
      <c r="E39" s="7"/>
      <c r="F39" s="11"/>
      <c r="G39" s="9" t="s">
        <v>169</v>
      </c>
      <c r="H39" s="9" t="s">
        <v>170</v>
      </c>
      <c r="I39" s="9" t="s">
        <v>171</v>
      </c>
    </row>
    <row r="40" spans="1:9" ht="25.5" x14ac:dyDescent="0.25">
      <c r="A40" s="20" t="s">
        <v>151</v>
      </c>
      <c r="B40" s="20" t="s">
        <v>172</v>
      </c>
      <c r="C40" s="21" t="s">
        <v>173</v>
      </c>
      <c r="D40" s="6" t="s">
        <v>174</v>
      </c>
      <c r="E40" s="7"/>
      <c r="F40" s="8"/>
      <c r="G40" s="9" t="s">
        <v>175</v>
      </c>
      <c r="H40" s="9"/>
      <c r="I40" s="9"/>
    </row>
    <row r="41" spans="1:9" x14ac:dyDescent="0.25">
      <c r="A41" s="20" t="s">
        <v>151</v>
      </c>
      <c r="B41" s="20" t="s">
        <v>172</v>
      </c>
      <c r="C41" s="21" t="s">
        <v>176</v>
      </c>
      <c r="D41" s="10">
        <v>5</v>
      </c>
      <c r="E41" s="7" t="s">
        <v>86</v>
      </c>
      <c r="F41" s="11"/>
      <c r="G41" s="9" t="s">
        <v>177</v>
      </c>
      <c r="H41" s="9" t="s">
        <v>178</v>
      </c>
      <c r="I41" s="9" t="s">
        <v>179</v>
      </c>
    </row>
    <row r="42" spans="1:9" x14ac:dyDescent="0.25">
      <c r="A42" s="20" t="s">
        <v>151</v>
      </c>
      <c r="B42" s="20" t="s">
        <v>172</v>
      </c>
      <c r="C42" s="21" t="s">
        <v>180</v>
      </c>
      <c r="D42" s="10">
        <v>0.05</v>
      </c>
      <c r="E42" s="7"/>
      <c r="F42" s="11"/>
      <c r="G42" s="9" t="s">
        <v>181</v>
      </c>
      <c r="H42" s="9" t="s">
        <v>182</v>
      </c>
      <c r="I42" s="9" t="s">
        <v>183</v>
      </c>
    </row>
    <row r="43" spans="1:9" x14ac:dyDescent="0.25">
      <c r="A43" s="20" t="s">
        <v>151</v>
      </c>
      <c r="B43" s="20" t="s">
        <v>172</v>
      </c>
      <c r="C43" s="21" t="s">
        <v>184</v>
      </c>
      <c r="D43" s="10">
        <v>45</v>
      </c>
      <c r="E43" s="7" t="s">
        <v>101</v>
      </c>
      <c r="F43" s="11"/>
      <c r="G43" s="9" t="s">
        <v>185</v>
      </c>
      <c r="H43" s="9"/>
      <c r="I43" s="9"/>
    </row>
    <row r="44" spans="1:9" x14ac:dyDescent="0.25">
      <c r="A44" s="22" t="s">
        <v>186</v>
      </c>
      <c r="B44" s="22" t="s">
        <v>187</v>
      </c>
      <c r="C44" s="23" t="s">
        <v>187</v>
      </c>
      <c r="D44" s="6" t="s">
        <v>188</v>
      </c>
      <c r="E44" s="7"/>
      <c r="F44" s="13"/>
      <c r="G44" s="9" t="s">
        <v>189</v>
      </c>
      <c r="H44" s="9"/>
      <c r="I44" s="9"/>
    </row>
    <row r="45" spans="1:9" x14ac:dyDescent="0.25">
      <c r="A45" s="22" t="s">
        <v>186</v>
      </c>
      <c r="B45" s="22" t="s">
        <v>190</v>
      </c>
      <c r="C45" s="23" t="s">
        <v>191</v>
      </c>
      <c r="D45" s="10">
        <v>40</v>
      </c>
      <c r="E45" s="7" t="s">
        <v>32</v>
      </c>
      <c r="F45" s="8"/>
      <c r="G45" s="9" t="s">
        <v>192</v>
      </c>
      <c r="H45" s="9" t="s">
        <v>193</v>
      </c>
      <c r="I45" s="9" t="s">
        <v>194</v>
      </c>
    </row>
    <row r="46" spans="1:9" x14ac:dyDescent="0.25">
      <c r="A46" s="22" t="s">
        <v>186</v>
      </c>
      <c r="B46" s="22" t="s">
        <v>190</v>
      </c>
      <c r="C46" s="23" t="s">
        <v>195</v>
      </c>
      <c r="D46" s="10">
        <v>46</v>
      </c>
      <c r="E46" s="7" t="s">
        <v>32</v>
      </c>
      <c r="F46" s="8"/>
      <c r="G46" s="9" t="s">
        <v>196</v>
      </c>
      <c r="H46" s="9" t="s">
        <v>197</v>
      </c>
      <c r="I46" s="9" t="s">
        <v>198</v>
      </c>
    </row>
    <row r="47" spans="1:9" ht="25.5" x14ac:dyDescent="0.25">
      <c r="A47" s="22" t="s">
        <v>186</v>
      </c>
      <c r="B47" s="22" t="s">
        <v>190</v>
      </c>
      <c r="C47" s="23" t="s">
        <v>199</v>
      </c>
      <c r="D47" s="10">
        <v>78</v>
      </c>
      <c r="E47" s="7" t="s">
        <v>101</v>
      </c>
      <c r="F47" s="11"/>
      <c r="G47" s="9" t="s">
        <v>200</v>
      </c>
      <c r="H47" s="9" t="s">
        <v>201</v>
      </c>
      <c r="I47" s="9" t="s">
        <v>202</v>
      </c>
    </row>
    <row r="48" spans="1:9" ht="25.5" x14ac:dyDescent="0.25">
      <c r="A48" s="22" t="s">
        <v>186</v>
      </c>
      <c r="B48" s="22" t="s">
        <v>190</v>
      </c>
      <c r="C48" s="23" t="s">
        <v>203</v>
      </c>
      <c r="D48" s="10">
        <v>5</v>
      </c>
      <c r="E48" s="7" t="s">
        <v>32</v>
      </c>
      <c r="F48" s="11"/>
      <c r="G48" s="9" t="s">
        <v>204</v>
      </c>
      <c r="H48" s="9" t="s">
        <v>205</v>
      </c>
      <c r="I48" s="9" t="s">
        <v>206</v>
      </c>
    </row>
    <row r="49" spans="1:9" x14ac:dyDescent="0.25">
      <c r="A49" s="22" t="s">
        <v>186</v>
      </c>
      <c r="B49" s="22" t="s">
        <v>190</v>
      </c>
      <c r="C49" s="23" t="s">
        <v>207</v>
      </c>
      <c r="D49" s="10">
        <v>8</v>
      </c>
      <c r="E49" s="7" t="s">
        <v>32</v>
      </c>
      <c r="F49" s="11"/>
      <c r="G49" s="9" t="s">
        <v>208</v>
      </c>
      <c r="H49" s="9" t="s">
        <v>209</v>
      </c>
      <c r="I49" s="9" t="s">
        <v>198</v>
      </c>
    </row>
    <row r="50" spans="1:9" x14ac:dyDescent="0.25">
      <c r="A50" s="22" t="s">
        <v>186</v>
      </c>
      <c r="B50" s="22" t="s">
        <v>210</v>
      </c>
      <c r="C50" s="23" t="s">
        <v>39</v>
      </c>
      <c r="D50" s="10">
        <v>20</v>
      </c>
      <c r="E50" s="7"/>
      <c r="F50" s="11"/>
      <c r="G50" s="9" t="s">
        <v>211</v>
      </c>
      <c r="H50" s="9" t="s">
        <v>212</v>
      </c>
      <c r="I50" s="9" t="s">
        <v>213</v>
      </c>
    </row>
    <row r="51" spans="1:9" x14ac:dyDescent="0.25">
      <c r="A51" s="22" t="s">
        <v>186</v>
      </c>
      <c r="B51" s="22" t="s">
        <v>210</v>
      </c>
      <c r="C51" s="23" t="s">
        <v>214</v>
      </c>
      <c r="D51" s="10">
        <v>0.9</v>
      </c>
      <c r="E51" s="7" t="s">
        <v>215</v>
      </c>
      <c r="F51" s="11"/>
      <c r="G51" s="9" t="s">
        <v>216</v>
      </c>
      <c r="H51" s="9" t="s">
        <v>217</v>
      </c>
      <c r="I51" s="9" t="s">
        <v>218</v>
      </c>
    </row>
    <row r="52" spans="1:9" x14ac:dyDescent="0.25">
      <c r="A52" s="22" t="s">
        <v>186</v>
      </c>
      <c r="B52" s="22" t="s">
        <v>219</v>
      </c>
      <c r="C52" s="23" t="s">
        <v>220</v>
      </c>
      <c r="D52" s="10">
        <v>1</v>
      </c>
      <c r="E52" s="7" t="s">
        <v>221</v>
      </c>
      <c r="F52" s="11"/>
      <c r="G52" s="9" t="s">
        <v>222</v>
      </c>
      <c r="H52" s="9" t="s">
        <v>223</v>
      </c>
      <c r="I52" s="9" t="s">
        <v>224</v>
      </c>
    </row>
    <row r="53" spans="1:9" ht="25.5" x14ac:dyDescent="0.25">
      <c r="A53" s="22" t="s">
        <v>186</v>
      </c>
      <c r="B53" s="22" t="s">
        <v>219</v>
      </c>
      <c r="C53" s="23" t="s">
        <v>225</v>
      </c>
      <c r="D53" s="10">
        <v>4</v>
      </c>
      <c r="E53" s="7" t="s">
        <v>86</v>
      </c>
      <c r="F53" s="11"/>
      <c r="G53" s="9" t="s">
        <v>226</v>
      </c>
      <c r="H53" s="9" t="s">
        <v>227</v>
      </c>
      <c r="I53" s="9" t="s">
        <v>228</v>
      </c>
    </row>
    <row r="54" spans="1:9" ht="25.5" x14ac:dyDescent="0.25">
      <c r="A54" s="22" t="s">
        <v>186</v>
      </c>
      <c r="B54" s="22" t="s">
        <v>219</v>
      </c>
      <c r="C54" s="23" t="s">
        <v>229</v>
      </c>
      <c r="D54" s="10">
        <v>2.5</v>
      </c>
      <c r="E54" s="7"/>
      <c r="F54" s="11"/>
      <c r="G54" s="9" t="s">
        <v>230</v>
      </c>
      <c r="H54" s="9" t="s">
        <v>231</v>
      </c>
      <c r="I54" s="9" t="s">
        <v>232</v>
      </c>
    </row>
    <row r="55" spans="1:9" x14ac:dyDescent="0.25">
      <c r="A55" s="22" t="s">
        <v>186</v>
      </c>
      <c r="B55" s="22" t="s">
        <v>233</v>
      </c>
      <c r="C55" s="23" t="s">
        <v>234</v>
      </c>
      <c r="D55" s="10">
        <v>25</v>
      </c>
      <c r="E55" s="7" t="s">
        <v>86</v>
      </c>
      <c r="F55" s="11"/>
      <c r="G55" s="9" t="s">
        <v>235</v>
      </c>
      <c r="H55" s="9" t="s">
        <v>236</v>
      </c>
      <c r="I55" s="9" t="s">
        <v>237</v>
      </c>
    </row>
    <row r="56" spans="1:9" x14ac:dyDescent="0.25">
      <c r="A56" s="22" t="s">
        <v>186</v>
      </c>
      <c r="B56" s="22" t="s">
        <v>238</v>
      </c>
      <c r="C56" s="23" t="s">
        <v>239</v>
      </c>
      <c r="D56" s="10">
        <v>35</v>
      </c>
      <c r="E56" s="7" t="s">
        <v>101</v>
      </c>
      <c r="F56" s="11"/>
      <c r="G56" s="9" t="s">
        <v>240</v>
      </c>
      <c r="H56" s="9" t="s">
        <v>241</v>
      </c>
      <c r="I56" s="9" t="s">
        <v>242</v>
      </c>
    </row>
    <row r="57" spans="1:9" x14ac:dyDescent="0.25">
      <c r="A57" s="22" t="s">
        <v>186</v>
      </c>
      <c r="B57" s="22" t="s">
        <v>238</v>
      </c>
      <c r="C57" s="23" t="s">
        <v>243</v>
      </c>
      <c r="D57" s="10">
        <v>40</v>
      </c>
      <c r="E57" s="7" t="s">
        <v>101</v>
      </c>
      <c r="F57" s="11"/>
      <c r="G57" s="9" t="s">
        <v>244</v>
      </c>
      <c r="H57" s="9" t="s">
        <v>245</v>
      </c>
      <c r="I57" s="9" t="s">
        <v>198</v>
      </c>
    </row>
    <row r="58" spans="1:9" x14ac:dyDescent="0.25">
      <c r="A58" s="22" t="s">
        <v>186</v>
      </c>
      <c r="B58" s="22" t="s">
        <v>238</v>
      </c>
      <c r="C58" s="23" t="s">
        <v>246</v>
      </c>
      <c r="D58" s="10">
        <v>5</v>
      </c>
      <c r="E58" s="7" t="s">
        <v>101</v>
      </c>
      <c r="F58" s="11"/>
      <c r="G58" s="9" t="s">
        <v>247</v>
      </c>
      <c r="H58" s="9" t="s">
        <v>248</v>
      </c>
      <c r="I58" s="9" t="s">
        <v>198</v>
      </c>
    </row>
    <row r="59" spans="1:9" x14ac:dyDescent="0.25">
      <c r="A59" s="22" t="s">
        <v>186</v>
      </c>
      <c r="B59" s="22" t="s">
        <v>238</v>
      </c>
      <c r="C59" s="23" t="s">
        <v>249</v>
      </c>
      <c r="D59" s="10">
        <v>4</v>
      </c>
      <c r="E59" s="7"/>
      <c r="F59" s="11"/>
      <c r="G59" s="9" t="s">
        <v>250</v>
      </c>
      <c r="H59" s="9" t="s">
        <v>251</v>
      </c>
      <c r="I59" s="9" t="s">
        <v>73</v>
      </c>
    </row>
    <row r="60" spans="1:9" ht="25.5" x14ac:dyDescent="0.25">
      <c r="A60" s="24" t="s">
        <v>252</v>
      </c>
      <c r="B60" s="24" t="s">
        <v>253</v>
      </c>
      <c r="C60" s="25" t="s">
        <v>254</v>
      </c>
      <c r="D60" s="6" t="s">
        <v>255</v>
      </c>
      <c r="E60" s="7"/>
      <c r="F60" s="8"/>
      <c r="G60" s="9" t="s">
        <v>256</v>
      </c>
      <c r="H60" s="9"/>
      <c r="I60" s="9"/>
    </row>
    <row r="61" spans="1:9" x14ac:dyDescent="0.25">
      <c r="A61" s="24" t="s">
        <v>252</v>
      </c>
      <c r="B61" s="24" t="s">
        <v>253</v>
      </c>
      <c r="C61" s="25" t="s">
        <v>257</v>
      </c>
      <c r="D61" s="6" t="s">
        <v>258</v>
      </c>
      <c r="E61" s="7"/>
      <c r="F61" s="8"/>
      <c r="G61" s="9" t="s">
        <v>259</v>
      </c>
      <c r="H61" s="9"/>
      <c r="I61" s="9"/>
    </row>
    <row r="62" spans="1:9" ht="25.5" x14ac:dyDescent="0.25">
      <c r="A62" s="24" t="s">
        <v>252</v>
      </c>
      <c r="B62" s="24" t="s">
        <v>253</v>
      </c>
      <c r="C62" s="25" t="s">
        <v>260</v>
      </c>
      <c r="D62" s="6" t="s">
        <v>261</v>
      </c>
      <c r="E62" s="7"/>
      <c r="F62" s="8"/>
      <c r="G62" s="9" t="s">
        <v>262</v>
      </c>
      <c r="H62" s="9"/>
      <c r="I62" s="9"/>
    </row>
    <row r="63" spans="1:9" x14ac:dyDescent="0.25">
      <c r="A63" s="24" t="s">
        <v>252</v>
      </c>
      <c r="B63" s="24" t="s">
        <v>253</v>
      </c>
      <c r="C63" s="25" t="s">
        <v>263</v>
      </c>
      <c r="D63" s="10">
        <v>10</v>
      </c>
      <c r="E63" s="7" t="s">
        <v>264</v>
      </c>
      <c r="F63" s="11"/>
      <c r="G63" s="9" t="s">
        <v>265</v>
      </c>
      <c r="H63" s="9" t="s">
        <v>266</v>
      </c>
      <c r="I63" s="9" t="s">
        <v>198</v>
      </c>
    </row>
    <row r="64" spans="1:9" x14ac:dyDescent="0.25">
      <c r="A64" s="24" t="s">
        <v>252</v>
      </c>
      <c r="B64" s="24" t="s">
        <v>253</v>
      </c>
      <c r="C64" s="25" t="s">
        <v>267</v>
      </c>
      <c r="D64" s="10">
        <v>1</v>
      </c>
      <c r="E64" s="7" t="s">
        <v>268</v>
      </c>
      <c r="F64" s="11"/>
      <c r="G64" s="9" t="s">
        <v>269</v>
      </c>
      <c r="H64" s="9" t="s">
        <v>270</v>
      </c>
      <c r="I64" s="9" t="s">
        <v>271</v>
      </c>
    </row>
    <row r="65" spans="1:9" x14ac:dyDescent="0.25">
      <c r="A65" s="4" t="s">
        <v>272</v>
      </c>
      <c r="B65" s="4" t="s">
        <v>273</v>
      </c>
      <c r="C65" s="5" t="s">
        <v>274</v>
      </c>
      <c r="D65" s="10">
        <v>8</v>
      </c>
      <c r="E65" s="7" t="s">
        <v>86</v>
      </c>
      <c r="F65" s="11"/>
      <c r="G65" s="9" t="s">
        <v>275</v>
      </c>
      <c r="H65" s="9" t="s">
        <v>276</v>
      </c>
      <c r="I65" s="9" t="s">
        <v>277</v>
      </c>
    </row>
    <row r="66" spans="1:9" x14ac:dyDescent="0.25">
      <c r="A66" s="4" t="s">
        <v>272</v>
      </c>
      <c r="B66" s="4" t="s">
        <v>278</v>
      </c>
      <c r="C66" s="5" t="s">
        <v>279</v>
      </c>
      <c r="D66" s="6" t="s">
        <v>280</v>
      </c>
      <c r="E66" s="7"/>
      <c r="F66" s="8"/>
      <c r="G66" s="9" t="s">
        <v>281</v>
      </c>
      <c r="H66" s="9"/>
      <c r="I66" s="9"/>
    </row>
    <row r="67" spans="1:9" x14ac:dyDescent="0.25">
      <c r="A67" s="4" t="s">
        <v>272</v>
      </c>
      <c r="B67" s="4" t="s">
        <v>278</v>
      </c>
      <c r="C67" s="5" t="s">
        <v>282</v>
      </c>
      <c r="D67" s="10">
        <v>10</v>
      </c>
      <c r="E67" s="7" t="s">
        <v>121</v>
      </c>
      <c r="F67" s="11"/>
      <c r="G67" s="9" t="s">
        <v>283</v>
      </c>
      <c r="H67" s="9" t="s">
        <v>284</v>
      </c>
      <c r="I67" s="9" t="s">
        <v>198</v>
      </c>
    </row>
    <row r="68" spans="1:9" x14ac:dyDescent="0.25">
      <c r="A68" s="4" t="s">
        <v>272</v>
      </c>
      <c r="B68" s="4" t="s">
        <v>278</v>
      </c>
      <c r="C68" s="5" t="s">
        <v>285</v>
      </c>
      <c r="D68" s="6" t="s">
        <v>286</v>
      </c>
      <c r="E68" s="7"/>
      <c r="F68" s="8"/>
      <c r="G68" s="9" t="s">
        <v>287</v>
      </c>
      <c r="H68" s="9"/>
      <c r="I68" s="9"/>
    </row>
    <row r="69" spans="1:9" x14ac:dyDescent="0.25">
      <c r="A69" s="4" t="s">
        <v>272</v>
      </c>
      <c r="B69" s="4" t="s">
        <v>278</v>
      </c>
      <c r="C69" s="5" t="s">
        <v>288</v>
      </c>
      <c r="D69" s="10">
        <v>4</v>
      </c>
      <c r="E69" s="7" t="s">
        <v>289</v>
      </c>
      <c r="F69" s="11"/>
      <c r="G69" s="9" t="s">
        <v>290</v>
      </c>
      <c r="H69" s="9" t="s">
        <v>291</v>
      </c>
      <c r="I69" s="9" t="s">
        <v>292</v>
      </c>
    </row>
    <row r="70" spans="1:9" x14ac:dyDescent="0.25">
      <c r="A70" s="4" t="s">
        <v>272</v>
      </c>
      <c r="B70" s="4" t="s">
        <v>278</v>
      </c>
      <c r="C70" s="5" t="s">
        <v>293</v>
      </c>
      <c r="D70" s="10">
        <v>6</v>
      </c>
      <c r="E70" s="7" t="s">
        <v>86</v>
      </c>
      <c r="F70" s="11"/>
      <c r="G70" s="9" t="s">
        <v>294</v>
      </c>
      <c r="H70" s="9" t="s">
        <v>295</v>
      </c>
      <c r="I70" s="9" t="s">
        <v>296</v>
      </c>
    </row>
    <row r="71" spans="1:9" ht="25.5" x14ac:dyDescent="0.25">
      <c r="A71" s="4" t="s">
        <v>272</v>
      </c>
      <c r="B71" s="4" t="s">
        <v>297</v>
      </c>
      <c r="C71" s="5" t="s">
        <v>298</v>
      </c>
      <c r="D71" s="6" t="s">
        <v>299</v>
      </c>
      <c r="E71" s="7"/>
      <c r="F71" s="8"/>
      <c r="G71" s="9" t="s">
        <v>300</v>
      </c>
      <c r="H71" s="9"/>
      <c r="I71" s="9"/>
    </row>
    <row r="72" spans="1:9" ht="25.5" x14ac:dyDescent="0.25">
      <c r="A72" s="4" t="s">
        <v>272</v>
      </c>
      <c r="B72" s="4" t="s">
        <v>297</v>
      </c>
      <c r="C72" s="5" t="s">
        <v>301</v>
      </c>
      <c r="D72" s="6" t="s">
        <v>302</v>
      </c>
      <c r="E72" s="7"/>
      <c r="F72" s="8"/>
      <c r="G72" s="9" t="s">
        <v>303</v>
      </c>
      <c r="H72" s="9" t="s">
        <v>304</v>
      </c>
      <c r="I72" s="9" t="s">
        <v>198</v>
      </c>
    </row>
    <row r="73" spans="1:9" x14ac:dyDescent="0.25">
      <c r="A73" s="14" t="s">
        <v>305</v>
      </c>
      <c r="B73" s="14" t="s">
        <v>299</v>
      </c>
      <c r="C73" s="15" t="s">
        <v>306</v>
      </c>
      <c r="D73" s="6" t="s">
        <v>307</v>
      </c>
      <c r="E73" s="7"/>
      <c r="F73" s="8"/>
      <c r="G73" s="9" t="s">
        <v>308</v>
      </c>
      <c r="H73" s="9"/>
      <c r="I73" s="9"/>
    </row>
    <row r="74" spans="1:9" x14ac:dyDescent="0.25">
      <c r="A74" s="14" t="s">
        <v>305</v>
      </c>
      <c r="B74" s="14" t="s">
        <v>299</v>
      </c>
      <c r="C74" s="15" t="s">
        <v>309</v>
      </c>
      <c r="D74" s="10">
        <v>1</v>
      </c>
      <c r="E74" s="7" t="s">
        <v>121</v>
      </c>
      <c r="F74" s="11"/>
      <c r="G74" s="9" t="s">
        <v>310</v>
      </c>
      <c r="H74" s="9" t="s">
        <v>311</v>
      </c>
      <c r="I74" s="9" t="s">
        <v>198</v>
      </c>
    </row>
    <row r="75" spans="1:9" ht="25.5" x14ac:dyDescent="0.25">
      <c r="A75" s="14" t="s">
        <v>305</v>
      </c>
      <c r="B75" s="14" t="s">
        <v>299</v>
      </c>
      <c r="C75" s="15" t="s">
        <v>312</v>
      </c>
      <c r="D75" s="10">
        <v>1</v>
      </c>
      <c r="E75" s="7" t="s">
        <v>289</v>
      </c>
      <c r="F75" s="11"/>
      <c r="G75" s="9" t="s">
        <v>313</v>
      </c>
      <c r="H75" s="9" t="s">
        <v>314</v>
      </c>
      <c r="I75" s="9" t="s">
        <v>315</v>
      </c>
    </row>
    <row r="76" spans="1:9" ht="25.5" x14ac:dyDescent="0.25">
      <c r="A76" s="16" t="s">
        <v>316</v>
      </c>
      <c r="B76" s="16" t="s">
        <v>317</v>
      </c>
      <c r="C76" s="17" t="s">
        <v>318</v>
      </c>
      <c r="D76" s="6" t="s">
        <v>319</v>
      </c>
      <c r="E76" s="7" t="s">
        <v>155</v>
      </c>
      <c r="F76" s="8"/>
      <c r="G76" s="9" t="s">
        <v>320</v>
      </c>
      <c r="H76" s="9"/>
      <c r="I76" s="9"/>
    </row>
    <row r="77" spans="1:9" x14ac:dyDescent="0.25">
      <c r="A77" s="16" t="s">
        <v>316</v>
      </c>
      <c r="B77" s="16" t="s">
        <v>317</v>
      </c>
      <c r="C77" s="17" t="s">
        <v>321</v>
      </c>
      <c r="D77" s="10">
        <v>2.5</v>
      </c>
      <c r="E77" s="7" t="s">
        <v>32</v>
      </c>
      <c r="F77" s="11"/>
      <c r="G77" s="9" t="s">
        <v>322</v>
      </c>
      <c r="H77" s="9" t="s">
        <v>323</v>
      </c>
      <c r="I77" s="9" t="s">
        <v>324</v>
      </c>
    </row>
    <row r="78" spans="1:9" x14ac:dyDescent="0.25">
      <c r="A78" s="16" t="s">
        <v>316</v>
      </c>
      <c r="B78" s="16" t="s">
        <v>317</v>
      </c>
      <c r="C78" s="17" t="s">
        <v>325</v>
      </c>
      <c r="D78" s="6" t="s">
        <v>305</v>
      </c>
      <c r="E78" s="7"/>
      <c r="F78" s="8"/>
      <c r="G78" s="9" t="s">
        <v>326</v>
      </c>
      <c r="H78" s="9"/>
      <c r="I78" s="9"/>
    </row>
    <row r="79" spans="1:9" x14ac:dyDescent="0.25">
      <c r="A79" s="18" t="s">
        <v>327</v>
      </c>
      <c r="B79" s="18" t="s">
        <v>328</v>
      </c>
      <c r="C79" s="19" t="s">
        <v>329</v>
      </c>
      <c r="D79" s="10">
        <v>20</v>
      </c>
      <c r="E79" s="7" t="s">
        <v>268</v>
      </c>
      <c r="F79" s="11"/>
      <c r="G79" s="9" t="s">
        <v>330</v>
      </c>
      <c r="H79" s="9" t="s">
        <v>331</v>
      </c>
      <c r="I79" s="9" t="s">
        <v>332</v>
      </c>
    </row>
    <row r="80" spans="1:9" x14ac:dyDescent="0.25">
      <c r="A80" s="20" t="s">
        <v>333</v>
      </c>
      <c r="B80" s="20" t="s">
        <v>334</v>
      </c>
      <c r="C80" s="21" t="s">
        <v>335</v>
      </c>
      <c r="D80" s="6" t="s">
        <v>188</v>
      </c>
      <c r="E80" s="7"/>
      <c r="F80" s="8"/>
      <c r="G80" s="9" t="s">
        <v>336</v>
      </c>
      <c r="H80" s="9"/>
      <c r="I80" s="9"/>
    </row>
    <row r="81" spans="1:9" x14ac:dyDescent="0.25">
      <c r="A81" s="20" t="s">
        <v>333</v>
      </c>
      <c r="B81" s="20" t="s">
        <v>337</v>
      </c>
      <c r="C81" s="21" t="s">
        <v>338</v>
      </c>
      <c r="D81" s="6" t="s">
        <v>339</v>
      </c>
      <c r="E81" s="7" t="s">
        <v>340</v>
      </c>
      <c r="F81" s="8"/>
      <c r="G81" s="9" t="s">
        <v>341</v>
      </c>
      <c r="H81" s="9"/>
      <c r="I81" s="9"/>
    </row>
    <row r="82" spans="1:9" x14ac:dyDescent="0.25">
      <c r="A82" s="20" t="s">
        <v>333</v>
      </c>
      <c r="B82" s="20" t="s">
        <v>337</v>
      </c>
      <c r="C82" s="21" t="s">
        <v>342</v>
      </c>
      <c r="D82" s="12">
        <v>360</v>
      </c>
      <c r="E82" s="7" t="s">
        <v>340</v>
      </c>
      <c r="F82" s="13"/>
      <c r="G82" s="9" t="s">
        <v>343</v>
      </c>
      <c r="H82" s="9" t="s">
        <v>344</v>
      </c>
      <c r="I82" s="9" t="s">
        <v>345</v>
      </c>
    </row>
    <row r="83" spans="1:9" x14ac:dyDescent="0.25">
      <c r="A83" s="20" t="s">
        <v>333</v>
      </c>
      <c r="B83" s="20" t="s">
        <v>337</v>
      </c>
      <c r="C83" s="21" t="s">
        <v>346</v>
      </c>
      <c r="D83" s="10">
        <v>28</v>
      </c>
      <c r="E83" s="7" t="s">
        <v>340</v>
      </c>
      <c r="F83" s="11"/>
      <c r="G83" s="9" t="s">
        <v>347</v>
      </c>
      <c r="H83" s="9"/>
      <c r="I83" s="9"/>
    </row>
    <row r="84" spans="1:9" x14ac:dyDescent="0.25">
      <c r="A84" s="20" t="s">
        <v>333</v>
      </c>
      <c r="B84" s="20" t="s">
        <v>337</v>
      </c>
      <c r="C84" s="21" t="s">
        <v>348</v>
      </c>
      <c r="D84" s="10">
        <v>76</v>
      </c>
      <c r="E84" s="7" t="s">
        <v>340</v>
      </c>
      <c r="F84" s="11"/>
      <c r="G84" s="9" t="s">
        <v>349</v>
      </c>
      <c r="H84" s="9"/>
      <c r="I84" s="9"/>
    </row>
    <row r="85" spans="1:9" x14ac:dyDescent="0.25">
      <c r="A85" s="20" t="s">
        <v>333</v>
      </c>
      <c r="B85" s="20" t="s">
        <v>337</v>
      </c>
      <c r="C85" s="21" t="s">
        <v>350</v>
      </c>
      <c r="D85" s="10">
        <v>8</v>
      </c>
      <c r="E85" s="7" t="s">
        <v>340</v>
      </c>
      <c r="F85" s="11"/>
      <c r="G85" s="9" t="s">
        <v>351</v>
      </c>
      <c r="H85" s="9"/>
      <c r="I85" s="9"/>
    </row>
    <row r="86" spans="1:9" x14ac:dyDescent="0.25">
      <c r="A86" s="20" t="s">
        <v>333</v>
      </c>
      <c r="B86" s="20" t="s">
        <v>352</v>
      </c>
      <c r="C86" s="21" t="s">
        <v>353</v>
      </c>
      <c r="D86" s="6" t="s">
        <v>354</v>
      </c>
      <c r="E86" s="7"/>
      <c r="F86" s="8"/>
      <c r="G86" s="9" t="s">
        <v>355</v>
      </c>
      <c r="H86" s="9"/>
      <c r="I86" s="9"/>
    </row>
    <row r="87" spans="1:9" x14ac:dyDescent="0.25">
      <c r="A87" s="20" t="s">
        <v>333</v>
      </c>
      <c r="B87" s="20" t="s">
        <v>352</v>
      </c>
      <c r="C87" s="21" t="s">
        <v>356</v>
      </c>
      <c r="D87" s="6" t="s">
        <v>357</v>
      </c>
      <c r="E87" s="7"/>
      <c r="F87" s="8"/>
      <c r="G87" s="9" t="s">
        <v>358</v>
      </c>
      <c r="H87" s="9"/>
      <c r="I87" s="9"/>
    </row>
    <row r="88" spans="1:9" x14ac:dyDescent="0.25">
      <c r="A88" s="20" t="s">
        <v>333</v>
      </c>
      <c r="B88" s="20" t="s">
        <v>352</v>
      </c>
      <c r="C88" s="21" t="s">
        <v>359</v>
      </c>
      <c r="D88" s="6" t="s">
        <v>360</v>
      </c>
      <c r="E88" s="7"/>
      <c r="F88" s="8"/>
      <c r="G88" s="9" t="s">
        <v>361</v>
      </c>
      <c r="H88" s="9"/>
      <c r="I88" s="9"/>
    </row>
    <row r="89" spans="1:9" x14ac:dyDescent="0.25">
      <c r="A89" s="20" t="s">
        <v>333</v>
      </c>
      <c r="B89" s="20" t="s">
        <v>362</v>
      </c>
      <c r="C89" s="21" t="s">
        <v>363</v>
      </c>
      <c r="D89" s="10">
        <v>22</v>
      </c>
      <c r="E89" s="7" t="s">
        <v>340</v>
      </c>
      <c r="F89" s="11"/>
      <c r="G89" s="9" t="s">
        <v>364</v>
      </c>
      <c r="H89" s="9"/>
      <c r="I89" s="9"/>
    </row>
    <row r="90" spans="1:9" x14ac:dyDescent="0.25">
      <c r="A90" s="20" t="s">
        <v>333</v>
      </c>
      <c r="B90" s="20" t="s">
        <v>365</v>
      </c>
      <c r="C90" s="21" t="s">
        <v>366</v>
      </c>
      <c r="D90" s="10">
        <v>0.3</v>
      </c>
      <c r="E90" s="7" t="s">
        <v>106</v>
      </c>
      <c r="F90" s="11"/>
      <c r="G90" s="9" t="s">
        <v>367</v>
      </c>
      <c r="H90" s="9" t="s">
        <v>368</v>
      </c>
      <c r="I90" s="9" t="s">
        <v>369</v>
      </c>
    </row>
    <row r="91" spans="1:9" x14ac:dyDescent="0.25">
      <c r="A91" s="20" t="s">
        <v>333</v>
      </c>
      <c r="B91" s="20" t="s">
        <v>365</v>
      </c>
      <c r="C91" s="21" t="s">
        <v>370</v>
      </c>
      <c r="D91" s="10">
        <v>4</v>
      </c>
      <c r="E91" s="7"/>
      <c r="F91" s="11"/>
      <c r="G91" s="9" t="s">
        <v>371</v>
      </c>
      <c r="H91" s="9" t="s">
        <v>372</v>
      </c>
      <c r="I91" s="9" t="s">
        <v>373</v>
      </c>
    </row>
    <row r="92" spans="1:9" ht="25.5" x14ac:dyDescent="0.25">
      <c r="A92" s="22" t="s">
        <v>374</v>
      </c>
      <c r="B92" s="22" t="s">
        <v>375</v>
      </c>
      <c r="C92" s="23" t="s">
        <v>329</v>
      </c>
      <c r="D92" s="12">
        <v>100</v>
      </c>
      <c r="E92" s="7" t="s">
        <v>121</v>
      </c>
      <c r="F92" s="13"/>
      <c r="G92" s="9" t="s">
        <v>376</v>
      </c>
      <c r="H92" s="9" t="s">
        <v>377</v>
      </c>
      <c r="I92" s="9" t="s">
        <v>378</v>
      </c>
    </row>
    <row r="93" spans="1:9" x14ac:dyDescent="0.25">
      <c r="A93" s="22" t="s">
        <v>374</v>
      </c>
      <c r="B93" s="22" t="s">
        <v>375</v>
      </c>
      <c r="C93" s="23" t="s">
        <v>379</v>
      </c>
      <c r="D93" s="10">
        <v>0.2</v>
      </c>
      <c r="E93" s="7" t="s">
        <v>143</v>
      </c>
      <c r="F93" s="11"/>
      <c r="G93" s="9" t="s">
        <v>380</v>
      </c>
      <c r="H93" s="9" t="s">
        <v>381</v>
      </c>
      <c r="I93" s="9" t="s">
        <v>382</v>
      </c>
    </row>
    <row r="94" spans="1:9" ht="25.5" x14ac:dyDescent="0.25">
      <c r="A94" s="22" t="s">
        <v>374</v>
      </c>
      <c r="B94" s="22" t="s">
        <v>383</v>
      </c>
      <c r="C94" s="23" t="s">
        <v>384</v>
      </c>
      <c r="D94" s="10">
        <v>0.1</v>
      </c>
      <c r="E94" s="7" t="s">
        <v>66</v>
      </c>
      <c r="F94" s="11"/>
      <c r="G94" s="9" t="s">
        <v>385</v>
      </c>
      <c r="H94" s="9" t="s">
        <v>386</v>
      </c>
      <c r="I94" s="9" t="s">
        <v>387</v>
      </c>
    </row>
    <row r="95" spans="1:9" x14ac:dyDescent="0.25">
      <c r="A95" s="22" t="s">
        <v>374</v>
      </c>
      <c r="B95" s="22" t="s">
        <v>383</v>
      </c>
      <c r="C95" s="23" t="s">
        <v>388</v>
      </c>
      <c r="D95" s="10">
        <v>0.5</v>
      </c>
      <c r="E95" s="7" t="s">
        <v>66</v>
      </c>
      <c r="F95" s="11"/>
      <c r="G95" s="9" t="s">
        <v>389</v>
      </c>
      <c r="H95" s="9" t="s">
        <v>390</v>
      </c>
      <c r="I95" s="9" t="s">
        <v>198</v>
      </c>
    </row>
    <row r="96" spans="1:9" x14ac:dyDescent="0.25">
      <c r="A96" s="22" t="s">
        <v>374</v>
      </c>
      <c r="B96" s="22" t="s">
        <v>383</v>
      </c>
      <c r="C96" s="23" t="s">
        <v>125</v>
      </c>
      <c r="D96" s="10">
        <v>2</v>
      </c>
      <c r="E96" s="7" t="s">
        <v>66</v>
      </c>
      <c r="F96" s="11"/>
      <c r="G96" s="9" t="s">
        <v>391</v>
      </c>
      <c r="H96" s="9" t="s">
        <v>392</v>
      </c>
      <c r="I96" s="9" t="s">
        <v>198</v>
      </c>
    </row>
    <row r="97" spans="1:9" ht="25.5" x14ac:dyDescent="0.25">
      <c r="A97" s="22" t="s">
        <v>374</v>
      </c>
      <c r="B97" s="22" t="s">
        <v>393</v>
      </c>
      <c r="C97" s="23" t="s">
        <v>394</v>
      </c>
      <c r="D97" s="10">
        <v>6</v>
      </c>
      <c r="E97" s="7" t="s">
        <v>86</v>
      </c>
      <c r="F97" s="11"/>
      <c r="G97" s="9" t="s">
        <v>395</v>
      </c>
      <c r="H97" s="9" t="s">
        <v>396</v>
      </c>
      <c r="I97" s="9" t="s">
        <v>397</v>
      </c>
    </row>
    <row r="98" spans="1:9" x14ac:dyDescent="0.25">
      <c r="A98" s="22" t="s">
        <v>374</v>
      </c>
      <c r="B98" s="22" t="s">
        <v>393</v>
      </c>
      <c r="C98" s="23" t="s">
        <v>398</v>
      </c>
      <c r="D98" s="10">
        <v>0.8</v>
      </c>
      <c r="E98" s="7" t="s">
        <v>399</v>
      </c>
      <c r="F98" s="11"/>
      <c r="G98" s="9" t="s">
        <v>400</v>
      </c>
      <c r="H98" s="9" t="s">
        <v>401</v>
      </c>
      <c r="I98" s="9" t="s">
        <v>402</v>
      </c>
    </row>
    <row r="99" spans="1:9" ht="25.5" x14ac:dyDescent="0.25">
      <c r="A99" s="22" t="s">
        <v>374</v>
      </c>
      <c r="B99" s="22" t="s">
        <v>393</v>
      </c>
      <c r="C99" s="23" t="s">
        <v>403</v>
      </c>
      <c r="D99" s="10">
        <v>1</v>
      </c>
      <c r="E99" s="7" t="s">
        <v>112</v>
      </c>
      <c r="F99" s="11"/>
      <c r="G99" s="9" t="s">
        <v>404</v>
      </c>
      <c r="H99" s="9" t="s">
        <v>401</v>
      </c>
      <c r="I99" s="9" t="s">
        <v>402</v>
      </c>
    </row>
    <row r="100" spans="1:9" x14ac:dyDescent="0.25">
      <c r="A100" s="24" t="s">
        <v>405</v>
      </c>
      <c r="B100" s="24" t="s">
        <v>334</v>
      </c>
      <c r="C100" s="25" t="s">
        <v>406</v>
      </c>
      <c r="D100" s="6" t="s">
        <v>188</v>
      </c>
      <c r="E100" s="7"/>
      <c r="F100" s="8"/>
      <c r="G100" s="9" t="s">
        <v>407</v>
      </c>
      <c r="H100" s="9"/>
      <c r="I100" s="9"/>
    </row>
    <row r="101" spans="1:9" x14ac:dyDescent="0.25">
      <c r="A101" s="24" t="s">
        <v>405</v>
      </c>
      <c r="B101" s="24" t="s">
        <v>334</v>
      </c>
      <c r="C101" s="25" t="s">
        <v>75</v>
      </c>
      <c r="D101" s="6" t="s">
        <v>188</v>
      </c>
      <c r="E101" s="7"/>
      <c r="F101" s="8"/>
      <c r="G101" s="9" t="s">
        <v>408</v>
      </c>
      <c r="H101" s="9"/>
      <c r="I101" s="9"/>
    </row>
    <row r="102" spans="1:9" x14ac:dyDescent="0.25">
      <c r="A102" s="24" t="s">
        <v>405</v>
      </c>
      <c r="B102" s="24" t="s">
        <v>337</v>
      </c>
      <c r="C102" s="25" t="s">
        <v>338</v>
      </c>
      <c r="D102" s="6" t="s">
        <v>339</v>
      </c>
      <c r="E102" s="7" t="s">
        <v>340</v>
      </c>
      <c r="F102" s="8"/>
      <c r="G102" s="9" t="s">
        <v>409</v>
      </c>
      <c r="H102" s="9"/>
      <c r="I102" s="9"/>
    </row>
    <row r="103" spans="1:9" x14ac:dyDescent="0.25">
      <c r="A103" s="24" t="s">
        <v>405</v>
      </c>
      <c r="B103" s="24" t="s">
        <v>337</v>
      </c>
      <c r="C103" s="25" t="s">
        <v>410</v>
      </c>
      <c r="D103" s="12">
        <v>360</v>
      </c>
      <c r="E103" s="7" t="s">
        <v>340</v>
      </c>
      <c r="F103" s="13"/>
      <c r="G103" s="9" t="s">
        <v>411</v>
      </c>
      <c r="H103" s="9"/>
      <c r="I103" s="9"/>
    </row>
    <row r="104" spans="1:9" x14ac:dyDescent="0.25">
      <c r="A104" s="24" t="s">
        <v>405</v>
      </c>
      <c r="B104" s="24" t="s">
        <v>337</v>
      </c>
      <c r="C104" s="25" t="s">
        <v>412</v>
      </c>
      <c r="D104" s="10">
        <v>30</v>
      </c>
      <c r="E104" s="7" t="s">
        <v>340</v>
      </c>
      <c r="F104" s="11"/>
      <c r="G104" s="9" t="s">
        <v>413</v>
      </c>
      <c r="H104" s="9"/>
      <c r="I104" s="9"/>
    </row>
    <row r="105" spans="1:9" x14ac:dyDescent="0.25">
      <c r="A105" s="24" t="s">
        <v>405</v>
      </c>
      <c r="B105" s="24" t="s">
        <v>337</v>
      </c>
      <c r="C105" s="25" t="s">
        <v>414</v>
      </c>
      <c r="D105" s="10">
        <v>10</v>
      </c>
      <c r="E105" s="7" t="s">
        <v>340</v>
      </c>
      <c r="F105" s="11"/>
      <c r="G105" s="9" t="s">
        <v>415</v>
      </c>
      <c r="H105" s="9"/>
      <c r="I105" s="9"/>
    </row>
    <row r="106" spans="1:9" x14ac:dyDescent="0.25">
      <c r="A106" s="24" t="s">
        <v>405</v>
      </c>
      <c r="B106" s="24" t="s">
        <v>362</v>
      </c>
      <c r="C106" s="25" t="s">
        <v>363</v>
      </c>
      <c r="D106" s="10">
        <v>18</v>
      </c>
      <c r="E106" s="7" t="s">
        <v>340</v>
      </c>
      <c r="F106" s="11"/>
      <c r="G106" s="9" t="s">
        <v>416</v>
      </c>
      <c r="H106" s="9"/>
      <c r="I106" s="9"/>
    </row>
    <row r="107" spans="1:9" x14ac:dyDescent="0.25">
      <c r="A107" s="24" t="s">
        <v>405</v>
      </c>
      <c r="B107" s="24" t="s">
        <v>352</v>
      </c>
      <c r="C107" s="25" t="s">
        <v>417</v>
      </c>
      <c r="D107" s="6" t="s">
        <v>418</v>
      </c>
      <c r="E107" s="7"/>
      <c r="F107" s="8"/>
      <c r="G107" s="9" t="s">
        <v>419</v>
      </c>
      <c r="H107" s="9"/>
      <c r="I107" s="9"/>
    </row>
    <row r="108" spans="1:9" x14ac:dyDescent="0.25">
      <c r="A108" s="24" t="s">
        <v>405</v>
      </c>
      <c r="B108" s="24" t="s">
        <v>352</v>
      </c>
      <c r="C108" s="25" t="s">
        <v>420</v>
      </c>
      <c r="D108" s="6" t="s">
        <v>421</v>
      </c>
      <c r="E108" s="7"/>
      <c r="F108" s="8"/>
      <c r="G108" s="9" t="s">
        <v>422</v>
      </c>
      <c r="H108" s="9"/>
      <c r="I108" s="9"/>
    </row>
    <row r="109" spans="1:9" x14ac:dyDescent="0.25">
      <c r="A109" s="24" t="s">
        <v>405</v>
      </c>
      <c r="B109" s="24" t="s">
        <v>423</v>
      </c>
      <c r="C109" s="25" t="s">
        <v>424</v>
      </c>
      <c r="D109" s="10">
        <v>4</v>
      </c>
      <c r="E109" s="7"/>
      <c r="F109" s="11"/>
      <c r="G109" s="9" t="s">
        <v>425</v>
      </c>
      <c r="H109" s="9" t="s">
        <v>426</v>
      </c>
      <c r="I109" s="9" t="s">
        <v>427</v>
      </c>
    </row>
    <row r="110" spans="1:9" x14ac:dyDescent="0.25">
      <c r="A110" s="4" t="s">
        <v>428</v>
      </c>
      <c r="B110" s="4" t="s">
        <v>429</v>
      </c>
      <c r="C110" s="5" t="s">
        <v>430</v>
      </c>
      <c r="D110" s="12">
        <v>1500</v>
      </c>
      <c r="E110" s="7" t="s">
        <v>431</v>
      </c>
      <c r="F110" s="13"/>
      <c r="G110" s="9" t="s">
        <v>432</v>
      </c>
      <c r="H110" s="9" t="s">
        <v>433</v>
      </c>
      <c r="I110" s="9" t="s">
        <v>434</v>
      </c>
    </row>
    <row r="111" spans="1:9" x14ac:dyDescent="0.25">
      <c r="A111" s="4" t="s">
        <v>428</v>
      </c>
      <c r="B111" s="4" t="s">
        <v>429</v>
      </c>
      <c r="C111" s="5" t="s">
        <v>435</v>
      </c>
      <c r="D111" s="6" t="s">
        <v>435</v>
      </c>
      <c r="E111" s="7"/>
      <c r="F111" s="8"/>
      <c r="G111" s="9" t="s">
        <v>436</v>
      </c>
      <c r="H111" s="9"/>
      <c r="I111" s="9"/>
    </row>
    <row r="112" spans="1:9" x14ac:dyDescent="0.25">
      <c r="A112" s="4" t="s">
        <v>428</v>
      </c>
      <c r="B112" s="4" t="s">
        <v>429</v>
      </c>
      <c r="C112" s="5" t="s">
        <v>437</v>
      </c>
      <c r="D112" s="6" t="s">
        <v>438</v>
      </c>
      <c r="E112" s="7"/>
      <c r="F112" s="8"/>
      <c r="G112" s="9" t="s">
        <v>439</v>
      </c>
      <c r="H112" s="9"/>
      <c r="I112" s="9"/>
    </row>
    <row r="113" spans="1:9" ht="25.5" x14ac:dyDescent="0.25">
      <c r="A113" s="14" t="s">
        <v>440</v>
      </c>
      <c r="B113" s="14" t="s">
        <v>441</v>
      </c>
      <c r="C113" s="15" t="s">
        <v>28</v>
      </c>
      <c r="D113" s="6" t="s">
        <v>29</v>
      </c>
      <c r="E113" s="7"/>
      <c r="F113" s="8"/>
      <c r="G113" s="9" t="s">
        <v>442</v>
      </c>
      <c r="H113" s="9"/>
      <c r="I113" s="9"/>
    </row>
    <row r="114" spans="1:9" ht="25.5" x14ac:dyDescent="0.25">
      <c r="A114" s="14" t="s">
        <v>440</v>
      </c>
      <c r="B114" s="14" t="s">
        <v>441</v>
      </c>
      <c r="C114" s="15" t="s">
        <v>443</v>
      </c>
      <c r="D114" s="6" t="s">
        <v>278</v>
      </c>
      <c r="E114" s="7"/>
      <c r="F114" s="8"/>
      <c r="G114" s="9" t="s">
        <v>444</v>
      </c>
      <c r="H114" s="9"/>
      <c r="I114" s="9"/>
    </row>
    <row r="115" spans="1:9" x14ac:dyDescent="0.25">
      <c r="A115" s="14" t="s">
        <v>440</v>
      </c>
      <c r="B115" s="14" t="s">
        <v>441</v>
      </c>
      <c r="C115" s="15" t="s">
        <v>325</v>
      </c>
      <c r="D115" s="6" t="s">
        <v>305</v>
      </c>
      <c r="E115" s="7"/>
      <c r="F115" s="8"/>
      <c r="G115" s="9" t="s">
        <v>445</v>
      </c>
      <c r="H115" s="9"/>
      <c r="I115" s="9"/>
    </row>
    <row r="117" spans="1:9" x14ac:dyDescent="0.25">
      <c r="A117" s="26" t="s">
        <v>446</v>
      </c>
    </row>
  </sheetData>
  <autoFilter ref="A4:I115" xr:uid="{00000000-0009-0000-0000-000000000000}"/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zoomScaleNormal="100" workbookViewId="0"/>
  </sheetViews>
  <sheetFormatPr baseColWidth="10" defaultColWidth="8.7109375" defaultRowHeight="15" x14ac:dyDescent="0.25"/>
  <cols>
    <col min="1" max="1" width="44" customWidth="1"/>
    <col min="2" max="2" width="16" customWidth="1"/>
    <col min="3" max="3" width="14" customWidth="1"/>
    <col min="4" max="4" width="78" customWidth="1"/>
  </cols>
  <sheetData>
    <row r="1" spans="1:4" ht="18" x14ac:dyDescent="0.25">
      <c r="A1" s="2" t="s">
        <v>447</v>
      </c>
    </row>
    <row r="3" spans="1:4" ht="15.75" x14ac:dyDescent="0.25">
      <c r="A3" s="27" t="s">
        <v>448</v>
      </c>
    </row>
    <row r="4" spans="1:4" x14ac:dyDescent="0.25">
      <c r="A4" s="28" t="s">
        <v>449</v>
      </c>
      <c r="B4" s="28" t="s">
        <v>450</v>
      </c>
      <c r="C4" s="28" t="s">
        <v>6</v>
      </c>
      <c r="D4" s="28" t="s">
        <v>334</v>
      </c>
    </row>
    <row r="5" spans="1:4" x14ac:dyDescent="0.25">
      <c r="A5" s="29" t="s">
        <v>451</v>
      </c>
      <c r="B5" s="30">
        <f>IF(Variables!F110="",Variables!D110,Variables!F110)</f>
        <v>1500</v>
      </c>
      <c r="C5" s="31" t="s">
        <v>431</v>
      </c>
      <c r="D5" s="29" t="s">
        <v>452</v>
      </c>
    </row>
    <row r="6" spans="1:4" x14ac:dyDescent="0.25">
      <c r="A6" s="29" t="s">
        <v>453</v>
      </c>
      <c r="B6" s="30">
        <f>IF(Variables!F13="",Variables!D13,Variables!F13)</f>
        <v>25000</v>
      </c>
      <c r="C6" s="31" t="s">
        <v>40</v>
      </c>
      <c r="D6" s="29" t="s">
        <v>454</v>
      </c>
    </row>
    <row r="7" spans="1:4" x14ac:dyDescent="0.25">
      <c r="A7" s="29" t="s">
        <v>455</v>
      </c>
      <c r="B7" s="30">
        <f>IF(Variables!F11="",Variables!D11,Variables!F11)</f>
        <v>0.9</v>
      </c>
      <c r="C7" s="31" t="s">
        <v>32</v>
      </c>
      <c r="D7" s="29" t="s">
        <v>456</v>
      </c>
    </row>
    <row r="8" spans="1:4" x14ac:dyDescent="0.25">
      <c r="A8" s="29" t="s">
        <v>457</v>
      </c>
      <c r="B8" s="30">
        <f>IF(Variables!F12="",Variables!D12,Variables!F12)</f>
        <v>0.5</v>
      </c>
      <c r="C8" s="31" t="s">
        <v>32</v>
      </c>
      <c r="D8" s="29" t="s">
        <v>458</v>
      </c>
    </row>
    <row r="9" spans="1:4" x14ac:dyDescent="0.25">
      <c r="A9" s="29" t="s">
        <v>459</v>
      </c>
      <c r="B9" s="30">
        <f>IF(Variables!F22="",Variables!D22,Variables!F22)</f>
        <v>30</v>
      </c>
      <c r="C9" s="31" t="s">
        <v>86</v>
      </c>
      <c r="D9" s="29" t="s">
        <v>460</v>
      </c>
    </row>
    <row r="10" spans="1:4" x14ac:dyDescent="0.25">
      <c r="A10" s="29" t="s">
        <v>461</v>
      </c>
      <c r="B10" s="30">
        <f>IF(Variables!F29="",Variables!D29,Variables!F29)</f>
        <v>100</v>
      </c>
      <c r="C10" s="31" t="s">
        <v>121</v>
      </c>
      <c r="D10" s="29" t="s">
        <v>462</v>
      </c>
    </row>
    <row r="11" spans="1:4" x14ac:dyDescent="0.25">
      <c r="A11" s="29" t="s">
        <v>463</v>
      </c>
      <c r="B11" s="30">
        <f>IF(Variables!F30="",Variables!D30,Variables!F30)</f>
        <v>25</v>
      </c>
      <c r="C11" s="31" t="s">
        <v>66</v>
      </c>
      <c r="D11" s="29" t="s">
        <v>464</v>
      </c>
    </row>
    <row r="12" spans="1:4" x14ac:dyDescent="0.25">
      <c r="A12" s="29" t="s">
        <v>465</v>
      </c>
      <c r="B12" s="30">
        <f>IF(Variables!F31="",Variables!D31,Variables!F31)</f>
        <v>10</v>
      </c>
      <c r="C12" s="31" t="s">
        <v>66</v>
      </c>
      <c r="D12" s="29" t="s">
        <v>466</v>
      </c>
    </row>
    <row r="13" spans="1:4" x14ac:dyDescent="0.25">
      <c r="A13" s="29" t="s">
        <v>467</v>
      </c>
      <c r="B13" s="30">
        <f>IF(Variables!F92="",Variables!D92,Variables!F92)</f>
        <v>100</v>
      </c>
      <c r="C13" s="31" t="s">
        <v>121</v>
      </c>
      <c r="D13" s="29" t="s">
        <v>468</v>
      </c>
    </row>
    <row r="14" spans="1:4" x14ac:dyDescent="0.25">
      <c r="A14" s="29" t="s">
        <v>469</v>
      </c>
      <c r="B14" s="30">
        <f>IF(Variables!F94="",Variables!D94,Variables!F94)</f>
        <v>0.1</v>
      </c>
      <c r="C14" s="31" t="s">
        <v>66</v>
      </c>
      <c r="D14" s="29" t="s">
        <v>470</v>
      </c>
    </row>
    <row r="15" spans="1:4" x14ac:dyDescent="0.25">
      <c r="A15" s="29" t="s">
        <v>471</v>
      </c>
      <c r="B15" s="30">
        <f>IF(Variables!F95="",Variables!D95,Variables!F95)</f>
        <v>0.5</v>
      </c>
      <c r="C15" s="31" t="s">
        <v>66</v>
      </c>
      <c r="D15" s="29" t="s">
        <v>472</v>
      </c>
    </row>
    <row r="16" spans="1:4" x14ac:dyDescent="0.25">
      <c r="A16" s="29" t="s">
        <v>473</v>
      </c>
      <c r="B16" s="30">
        <f>IF(Variables!F96="",Variables!D96,Variables!F96)</f>
        <v>2</v>
      </c>
      <c r="C16" s="31" t="s">
        <v>66</v>
      </c>
      <c r="D16" s="29" t="s">
        <v>474</v>
      </c>
    </row>
    <row r="17" spans="1:4" x14ac:dyDescent="0.25">
      <c r="A17" s="29" t="s">
        <v>475</v>
      </c>
      <c r="B17" s="30">
        <f>IF(Variables!F97="",Variables!D97,Variables!F97)</f>
        <v>6</v>
      </c>
      <c r="C17" s="31" t="s">
        <v>86</v>
      </c>
      <c r="D17" s="29" t="s">
        <v>476</v>
      </c>
    </row>
    <row r="18" spans="1:4" x14ac:dyDescent="0.25">
      <c r="A18" s="29" t="s">
        <v>477</v>
      </c>
      <c r="B18" s="30">
        <f>IF(Variables!F98="",Variables!D98,Variables!F98)</f>
        <v>0.8</v>
      </c>
      <c r="C18" s="31" t="s">
        <v>399</v>
      </c>
      <c r="D18" s="29" t="s">
        <v>478</v>
      </c>
    </row>
    <row r="19" spans="1:4" x14ac:dyDescent="0.25">
      <c r="A19" s="29" t="s">
        <v>479</v>
      </c>
      <c r="B19" s="30">
        <f>IF(Variables!F99="",Variables!D99,Variables!F99)</f>
        <v>1</v>
      </c>
      <c r="C19" s="31" t="s">
        <v>112</v>
      </c>
      <c r="D19" s="29" t="s">
        <v>480</v>
      </c>
    </row>
    <row r="20" spans="1:4" x14ac:dyDescent="0.25">
      <c r="A20" s="29" t="s">
        <v>481</v>
      </c>
      <c r="B20" s="30">
        <f>IF(Variables!F65="",Variables!D65,Variables!F65)</f>
        <v>8</v>
      </c>
      <c r="C20" s="31" t="s">
        <v>86</v>
      </c>
      <c r="D20" s="29" t="s">
        <v>482</v>
      </c>
    </row>
    <row r="21" spans="1:4" x14ac:dyDescent="0.25">
      <c r="A21" s="29" t="s">
        <v>483</v>
      </c>
      <c r="B21" s="30">
        <f>IF(Variables!F79="",Variables!D79,Variables!F79)</f>
        <v>20</v>
      </c>
      <c r="C21" s="31" t="s">
        <v>121</v>
      </c>
      <c r="D21" s="29" t="s">
        <v>484</v>
      </c>
    </row>
    <row r="22" spans="1:4" x14ac:dyDescent="0.25">
      <c r="A22" s="29" t="s">
        <v>485</v>
      </c>
      <c r="B22" s="30">
        <f>IF(Variables!F45="",Variables!D45,Variables!F45)</f>
        <v>40</v>
      </c>
      <c r="C22" s="31" t="s">
        <v>32</v>
      </c>
      <c r="D22" s="29" t="s">
        <v>486</v>
      </c>
    </row>
    <row r="23" spans="1:4" x14ac:dyDescent="0.25">
      <c r="A23" s="29" t="s">
        <v>487</v>
      </c>
      <c r="B23" s="30">
        <f>IF(Variables!F47="",Variables!D47,Variables!F47)</f>
        <v>78</v>
      </c>
      <c r="C23" s="31" t="s">
        <v>101</v>
      </c>
      <c r="D23" s="29" t="s">
        <v>488</v>
      </c>
    </row>
    <row r="24" spans="1:4" x14ac:dyDescent="0.25">
      <c r="A24" s="29" t="s">
        <v>489</v>
      </c>
      <c r="B24" s="30">
        <f>IF(Variables!F48="",Variables!D48,Variables!F48)</f>
        <v>5</v>
      </c>
      <c r="C24" s="31" t="s">
        <v>32</v>
      </c>
      <c r="D24" s="29" t="s">
        <v>490</v>
      </c>
    </row>
    <row r="25" spans="1:4" x14ac:dyDescent="0.25">
      <c r="A25" s="29" t="s">
        <v>491</v>
      </c>
      <c r="B25" s="32">
        <v>9.81</v>
      </c>
      <c r="C25" s="31" t="s">
        <v>492</v>
      </c>
      <c r="D25" s="29" t="s">
        <v>493</v>
      </c>
    </row>
    <row r="26" spans="1:4" x14ac:dyDescent="0.25">
      <c r="A26" s="29" t="s">
        <v>494</v>
      </c>
      <c r="B26" s="32">
        <v>4</v>
      </c>
      <c r="C26" s="31" t="s">
        <v>495</v>
      </c>
      <c r="D26" s="29" t="s">
        <v>496</v>
      </c>
    </row>
    <row r="27" spans="1:4" x14ac:dyDescent="0.25">
      <c r="A27" s="29" t="s">
        <v>497</v>
      </c>
      <c r="B27" s="33">
        <v>12</v>
      </c>
      <c r="C27" s="31" t="s">
        <v>86</v>
      </c>
      <c r="D27" s="29" t="s">
        <v>498</v>
      </c>
    </row>
    <row r="29" spans="1:4" ht="15.75" x14ac:dyDescent="0.25">
      <c r="A29" s="27" t="s">
        <v>27</v>
      </c>
    </row>
    <row r="30" spans="1:4" x14ac:dyDescent="0.25">
      <c r="A30" s="28" t="s">
        <v>499</v>
      </c>
      <c r="B30" s="28" t="s">
        <v>450</v>
      </c>
      <c r="C30" s="28" t="s">
        <v>6</v>
      </c>
      <c r="D30" s="28" t="s">
        <v>500</v>
      </c>
    </row>
    <row r="31" spans="1:4" x14ac:dyDescent="0.25">
      <c r="A31" s="29" t="s">
        <v>501</v>
      </c>
      <c r="B31" s="34">
        <f>B5*B25/B26</f>
        <v>3678.75</v>
      </c>
      <c r="C31" s="31" t="s">
        <v>77</v>
      </c>
      <c r="D31" s="29" t="s">
        <v>502</v>
      </c>
    </row>
    <row r="32" spans="1:4" x14ac:dyDescent="0.25">
      <c r="A32" s="29" t="s">
        <v>503</v>
      </c>
      <c r="B32" s="35">
        <f>B31/B6</f>
        <v>0.14715</v>
      </c>
      <c r="C32" s="31" t="s">
        <v>32</v>
      </c>
      <c r="D32" s="29" t="s">
        <v>504</v>
      </c>
    </row>
    <row r="33" spans="1:4" x14ac:dyDescent="0.25">
      <c r="A33" s="29" t="s">
        <v>505</v>
      </c>
      <c r="B33" s="35">
        <f>B8+B7</f>
        <v>1.4</v>
      </c>
      <c r="C33" s="31" t="s">
        <v>32</v>
      </c>
      <c r="D33" s="29" t="s">
        <v>506</v>
      </c>
    </row>
    <row r="34" spans="1:4" x14ac:dyDescent="0.25">
      <c r="A34" s="29" t="s">
        <v>507</v>
      </c>
      <c r="B34" s="35">
        <f>B8+B7-B32</f>
        <v>1.25285</v>
      </c>
      <c r="C34" s="31" t="s">
        <v>32</v>
      </c>
      <c r="D34" s="29" t="s">
        <v>508</v>
      </c>
    </row>
    <row r="35" spans="1:4" x14ac:dyDescent="0.25">
      <c r="A35" s="29" t="s">
        <v>509</v>
      </c>
      <c r="B35" s="36">
        <f>B32/B7</f>
        <v>0.16350000000000001</v>
      </c>
      <c r="C35" s="31" t="s">
        <v>510</v>
      </c>
      <c r="D35" s="29" t="s">
        <v>511</v>
      </c>
    </row>
    <row r="37" spans="1:4" ht="15.75" x14ac:dyDescent="0.25">
      <c r="A37" s="27" t="s">
        <v>512</v>
      </c>
    </row>
    <row r="38" spans="1:4" x14ac:dyDescent="0.25">
      <c r="A38" s="28" t="s">
        <v>499</v>
      </c>
      <c r="B38" s="28" t="s">
        <v>450</v>
      </c>
      <c r="C38" s="28" t="s">
        <v>6</v>
      </c>
      <c r="D38" s="28" t="s">
        <v>500</v>
      </c>
    </row>
    <row r="39" spans="1:4" x14ac:dyDescent="0.25">
      <c r="A39" s="29" t="s">
        <v>459</v>
      </c>
      <c r="B39" s="37">
        <f>B9*3.6</f>
        <v>108</v>
      </c>
      <c r="C39" s="31" t="s">
        <v>513</v>
      </c>
      <c r="D39" s="29" t="s">
        <v>514</v>
      </c>
    </row>
    <row r="40" spans="1:4" x14ac:dyDescent="0.25">
      <c r="A40" s="29" t="s">
        <v>515</v>
      </c>
      <c r="B40" s="38">
        <f>B10/B11</f>
        <v>4</v>
      </c>
      <c r="C40" s="31" t="s">
        <v>289</v>
      </c>
      <c r="D40" s="29" t="s">
        <v>516</v>
      </c>
    </row>
    <row r="41" spans="1:4" x14ac:dyDescent="0.25">
      <c r="A41" s="29" t="s">
        <v>517</v>
      </c>
      <c r="B41" s="38">
        <f>B10/B12</f>
        <v>10</v>
      </c>
      <c r="C41" s="31" t="s">
        <v>289</v>
      </c>
      <c r="D41" s="29" t="s">
        <v>518</v>
      </c>
    </row>
    <row r="43" spans="1:4" ht="15.75" x14ac:dyDescent="0.25">
      <c r="A43" s="27" t="s">
        <v>519</v>
      </c>
    </row>
    <row r="44" spans="1:4" x14ac:dyDescent="0.25">
      <c r="A44" s="28" t="s">
        <v>499</v>
      </c>
      <c r="B44" s="28" t="s">
        <v>450</v>
      </c>
      <c r="C44" s="28" t="s">
        <v>6</v>
      </c>
      <c r="D44" s="28" t="s">
        <v>500</v>
      </c>
    </row>
    <row r="45" spans="1:4" x14ac:dyDescent="0.25">
      <c r="A45" s="29" t="s">
        <v>520</v>
      </c>
      <c r="B45" s="34">
        <f>IF(B14&gt;0,B13/B14,"sin límite")</f>
        <v>1000</v>
      </c>
      <c r="C45" s="31" t="s">
        <v>289</v>
      </c>
      <c r="D45" s="29" t="s">
        <v>521</v>
      </c>
    </row>
    <row r="46" spans="1:4" x14ac:dyDescent="0.25">
      <c r="A46" s="29" t="s">
        <v>522</v>
      </c>
      <c r="B46" s="34">
        <f>B13/(B14+B15)</f>
        <v>166.66666666666669</v>
      </c>
      <c r="C46" s="31" t="s">
        <v>289</v>
      </c>
      <c r="D46" s="29" t="s">
        <v>523</v>
      </c>
    </row>
    <row r="47" spans="1:4" x14ac:dyDescent="0.25">
      <c r="A47" s="29" t="s">
        <v>524</v>
      </c>
      <c r="B47" s="38">
        <f>B46/60</f>
        <v>2.7777777777777781</v>
      </c>
      <c r="C47" s="31" t="s">
        <v>525</v>
      </c>
      <c r="D47" s="29" t="s">
        <v>526</v>
      </c>
    </row>
    <row r="48" spans="1:4" x14ac:dyDescent="0.25">
      <c r="A48" s="29" t="s">
        <v>527</v>
      </c>
      <c r="B48" s="34">
        <f>B13/(B14+B15+B16)</f>
        <v>38.46153846153846</v>
      </c>
      <c r="C48" s="31" t="s">
        <v>289</v>
      </c>
      <c r="D48" s="29" t="s">
        <v>528</v>
      </c>
    </row>
    <row r="49" spans="1:4" x14ac:dyDescent="0.25">
      <c r="A49" s="29" t="s">
        <v>529</v>
      </c>
      <c r="B49" s="38">
        <f>B46*B9/1000</f>
        <v>5.0000000000000009</v>
      </c>
      <c r="C49" s="31" t="s">
        <v>530</v>
      </c>
      <c r="D49" s="29" t="s">
        <v>531</v>
      </c>
    </row>
    <row r="50" spans="1:4" x14ac:dyDescent="0.25">
      <c r="A50" s="29" t="s">
        <v>532</v>
      </c>
      <c r="B50" s="38">
        <f>MAX(0,B27-B17)*B18*B19</f>
        <v>4.8000000000000007</v>
      </c>
      <c r="C50" s="31" t="s">
        <v>121</v>
      </c>
      <c r="D50" s="29" t="s">
        <v>533</v>
      </c>
    </row>
    <row r="51" spans="1:4" x14ac:dyDescent="0.25">
      <c r="A51" s="29" t="s">
        <v>534</v>
      </c>
      <c r="B51" s="39">
        <f>B50/B13</f>
        <v>4.8000000000000008E-2</v>
      </c>
      <c r="C51" s="31" t="s">
        <v>510</v>
      </c>
      <c r="D51" s="29" t="s">
        <v>535</v>
      </c>
    </row>
    <row r="53" spans="1:4" ht="15.75" x14ac:dyDescent="0.25">
      <c r="A53" s="27" t="s">
        <v>536</v>
      </c>
    </row>
    <row r="54" spans="1:4" x14ac:dyDescent="0.25">
      <c r="A54" s="28" t="s">
        <v>499</v>
      </c>
      <c r="B54" s="28" t="s">
        <v>450</v>
      </c>
      <c r="C54" s="28" t="s">
        <v>6</v>
      </c>
      <c r="D54" s="28" t="s">
        <v>500</v>
      </c>
    </row>
    <row r="55" spans="1:4" x14ac:dyDescent="0.25">
      <c r="A55" s="29" t="s">
        <v>537</v>
      </c>
      <c r="B55" s="37">
        <f>B20*3.6</f>
        <v>28.8</v>
      </c>
      <c r="C55" s="31" t="s">
        <v>513</v>
      </c>
      <c r="D55" s="29" t="s">
        <v>514</v>
      </c>
    </row>
    <row r="56" spans="1:4" x14ac:dyDescent="0.25">
      <c r="A56" s="29" t="s">
        <v>538</v>
      </c>
      <c r="B56" s="37">
        <f>B21</f>
        <v>20</v>
      </c>
      <c r="C56" s="31" t="s">
        <v>495</v>
      </c>
      <c r="D56" s="29" t="s">
        <v>539</v>
      </c>
    </row>
    <row r="58" spans="1:4" ht="15.75" x14ac:dyDescent="0.25">
      <c r="A58" s="27" t="s">
        <v>540</v>
      </c>
    </row>
    <row r="59" spans="1:4" x14ac:dyDescent="0.25">
      <c r="A59" s="28" t="s">
        <v>499</v>
      </c>
      <c r="B59" s="28" t="s">
        <v>450</v>
      </c>
      <c r="C59" s="28" t="s">
        <v>6</v>
      </c>
      <c r="D59" s="28" t="s">
        <v>500</v>
      </c>
    </row>
    <row r="60" spans="1:4" x14ac:dyDescent="0.25">
      <c r="A60" s="29" t="s">
        <v>541</v>
      </c>
      <c r="B60" s="38">
        <f>B22*SIN(RADIANS(B23))</f>
        <v>39.12590402935222</v>
      </c>
      <c r="C60" s="31" t="s">
        <v>32</v>
      </c>
      <c r="D60" s="29" t="s">
        <v>542</v>
      </c>
    </row>
    <row r="61" spans="1:4" x14ac:dyDescent="0.25">
      <c r="A61" s="29" t="s">
        <v>543</v>
      </c>
      <c r="B61" s="38">
        <f>B22*COS(RADIANS(B23))</f>
        <v>8.3164676327103777</v>
      </c>
      <c r="C61" s="31" t="s">
        <v>32</v>
      </c>
      <c r="D61" s="29" t="s">
        <v>544</v>
      </c>
    </row>
    <row r="62" spans="1:4" x14ac:dyDescent="0.25">
      <c r="A62" s="29" t="s">
        <v>545</v>
      </c>
      <c r="B62" s="38">
        <f>B61-B24</f>
        <v>3.3164676327103777</v>
      </c>
      <c r="C62" s="31" t="s">
        <v>32</v>
      </c>
      <c r="D62" s="29" t="s">
        <v>546</v>
      </c>
    </row>
    <row r="64" spans="1:4" ht="15.75" x14ac:dyDescent="0.25">
      <c r="A64" s="27" t="s">
        <v>547</v>
      </c>
    </row>
    <row r="65" spans="1:1" x14ac:dyDescent="0.25">
      <c r="A65" s="40" t="s">
        <v>548</v>
      </c>
    </row>
    <row r="66" spans="1:1" x14ac:dyDescent="0.25">
      <c r="A66" s="40" t="s">
        <v>549</v>
      </c>
    </row>
    <row r="67" spans="1:1" x14ac:dyDescent="0.25">
      <c r="A67" s="40" t="s">
        <v>550</v>
      </c>
    </row>
    <row r="68" spans="1:1" x14ac:dyDescent="0.25">
      <c r="A68" s="40" t="s">
        <v>551</v>
      </c>
    </row>
    <row r="69" spans="1:1" x14ac:dyDescent="0.25">
      <c r="A69" s="40" t="s">
        <v>552</v>
      </c>
    </row>
    <row r="70" spans="1:1" x14ac:dyDescent="0.25">
      <c r="A70" s="40" t="s">
        <v>553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Variables</vt:lpstr>
      <vt:lpstr>Relaciones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Iker Duque Delgado</cp:lastModifiedBy>
  <cp:revision>0</cp:revision>
  <dcterms:created xsi:type="dcterms:W3CDTF">2026-10-23T13:26:06Z</dcterms:created>
  <dcterms:modified xsi:type="dcterms:W3CDTF">2026-10-23T13:34:06Z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2026-10-23T13:34:06Z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78f3a279-48c8-4670-9162-a63c451c9fae</vt:lpwstr>
  </property>
  <property fmtid="{D5CDD505-2E9C-101B-9397-08002B2CF9AE}" pid="7" name="MSIP_Label_defa4170-0d19-0005-0004-bc88714345d2_ActionId">
    <vt:lpwstr>a5f6e30d-d86f-4d26-82c3-d788dfef3728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